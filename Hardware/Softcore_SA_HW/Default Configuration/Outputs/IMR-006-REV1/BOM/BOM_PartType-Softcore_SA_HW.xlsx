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IMR_Projects\IMR\Softcore_SA\Hardware\Softcore_SA_HW\Default Configuration\Outputs\BOM\"/>
    </mc:Choice>
  </mc:AlternateContent>
  <xr:revisionPtr revIDLastSave="0" documentId="13_ncr:1_{613BD6A7-BA99-4805-B2F1-8BF393435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7" i="3" l="1"/>
  <c r="B77" i="3"/>
  <c r="L76" i="3"/>
  <c r="B76" i="3"/>
  <c r="L75" i="3"/>
  <c r="B75" i="3"/>
  <c r="L74" i="3"/>
  <c r="B74" i="3"/>
  <c r="L73" i="3"/>
  <c r="B73" i="3"/>
  <c r="L72" i="3"/>
  <c r="B72" i="3"/>
  <c r="L71" i="3"/>
  <c r="B71" i="3"/>
  <c r="L70" i="3"/>
  <c r="B70" i="3"/>
  <c r="L69" i="3"/>
  <c r="B69" i="3"/>
  <c r="L68" i="3"/>
  <c r="B68" i="3"/>
  <c r="L67" i="3"/>
  <c r="B67" i="3"/>
  <c r="L66" i="3"/>
  <c r="B66" i="3"/>
  <c r="L65" i="3"/>
  <c r="B65" i="3"/>
  <c r="L64" i="3"/>
  <c r="B64" i="3"/>
  <c r="L63" i="3"/>
  <c r="B63" i="3"/>
  <c r="L62" i="3"/>
  <c r="B62" i="3"/>
  <c r="L61" i="3"/>
  <c r="B61" i="3"/>
  <c r="L60" i="3"/>
  <c r="B60" i="3"/>
  <c r="L59" i="3"/>
  <c r="B59" i="3"/>
  <c r="L58" i="3"/>
  <c r="B58" i="3"/>
  <c r="L57" i="3"/>
  <c r="B57" i="3"/>
  <c r="L56" i="3"/>
  <c r="B56" i="3"/>
  <c r="L55" i="3"/>
  <c r="B55" i="3"/>
  <c r="L54" i="3"/>
  <c r="B54" i="3"/>
  <c r="L53" i="3"/>
  <c r="B53" i="3"/>
  <c r="L52" i="3"/>
  <c r="B52" i="3"/>
  <c r="L51" i="3"/>
  <c r="B51" i="3"/>
  <c r="L50" i="3"/>
  <c r="B50" i="3"/>
  <c r="L49" i="3"/>
  <c r="B49" i="3"/>
  <c r="L48" i="3"/>
  <c r="B48" i="3"/>
  <c r="L47" i="3"/>
  <c r="B47" i="3"/>
  <c r="L46" i="3"/>
  <c r="B46" i="3"/>
  <c r="L45" i="3"/>
  <c r="B45" i="3"/>
  <c r="L44" i="3"/>
  <c r="B44" i="3"/>
  <c r="L43" i="3"/>
  <c r="B43" i="3"/>
  <c r="L42" i="3"/>
  <c r="B42" i="3"/>
  <c r="L41" i="3"/>
  <c r="B41" i="3"/>
  <c r="L40" i="3"/>
  <c r="B40" i="3"/>
  <c r="L39" i="3"/>
  <c r="B39" i="3"/>
  <c r="L38" i="3"/>
  <c r="B38" i="3"/>
  <c r="L37" i="3"/>
  <c r="B37" i="3"/>
  <c r="L36" i="3"/>
  <c r="B36" i="3"/>
  <c r="L35" i="3"/>
  <c r="B35" i="3"/>
  <c r="L34" i="3"/>
  <c r="B34" i="3"/>
  <c r="L33" i="3"/>
  <c r="B33" i="3"/>
  <c r="L32" i="3"/>
  <c r="B32" i="3"/>
  <c r="L31" i="3"/>
  <c r="B31" i="3"/>
  <c r="L30" i="3"/>
  <c r="B30" i="3"/>
  <c r="L29" i="3"/>
  <c r="B29" i="3"/>
  <c r="L28" i="3"/>
  <c r="B28" i="3"/>
  <c r="L27" i="3"/>
  <c r="B27" i="3"/>
  <c r="L26" i="3"/>
  <c r="B26" i="3"/>
  <c r="L25" i="3"/>
  <c r="B25" i="3"/>
  <c r="L24" i="3"/>
  <c r="B24" i="3"/>
  <c r="L23" i="3"/>
  <c r="B23" i="3"/>
  <c r="L22" i="3"/>
  <c r="B22" i="3"/>
  <c r="L21" i="3"/>
  <c r="B21" i="3"/>
  <c r="L20" i="3"/>
  <c r="B20" i="3"/>
  <c r="L19" i="3"/>
  <c r="B19" i="3"/>
  <c r="L18" i="3"/>
  <c r="B18" i="3"/>
  <c r="L17" i="3"/>
  <c r="B17" i="3"/>
  <c r="L16" i="3"/>
  <c r="B16" i="3"/>
  <c r="L15" i="3"/>
  <c r="B15" i="3"/>
  <c r="L14" i="3"/>
  <c r="B14" i="3"/>
  <c r="L13" i="3"/>
  <c r="B13" i="3"/>
  <c r="L12" i="3"/>
  <c r="B12" i="3"/>
  <c r="L11" i="3"/>
  <c r="L10" i="3"/>
  <c r="L78" i="3" l="1"/>
  <c r="B11" i="3"/>
  <c r="B10" i="3"/>
  <c r="E8" i="3"/>
  <c r="F8" i="3"/>
</calcChain>
</file>

<file path=xl/sharedStrings.xml><?xml version="1.0" encoding="utf-8"?>
<sst xmlns="http://schemas.openxmlformats.org/spreadsheetml/2006/main" count="609" uniqueCount="463">
  <si>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</si>
  <si>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</si>
  <si>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</si>
  <si>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</si>
  <si>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</si>
  <si>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</si>
  <si>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</si>
  <si>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</si>
  <si>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</si>
  <si>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</si>
  <si>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</si>
  <si>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</si>
  <si>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</si>
  <si>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</si>
  <si>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</si>
  <si>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</si>
  <si>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</si>
  <si>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</si>
  <si>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</si>
  <si>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</si>
  <si>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</si>
  <si>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#</t>
  </si>
  <si>
    <t xml:space="preserve"> </t>
  </si>
  <si>
    <t>Total Actual Price</t>
  </si>
  <si>
    <t>Total Target Price</t>
  </si>
  <si>
    <t>Company Part Number:</t>
  </si>
  <si>
    <t>PCB Revision:</t>
  </si>
  <si>
    <t>Engineer:</t>
  </si>
  <si>
    <t>PROTOTYPE BOM</t>
  </si>
  <si>
    <t>TOTAL</t>
  </si>
  <si>
    <t>Bill of Cost (Unit Buy):</t>
  </si>
  <si>
    <t>Softcore_SA_HW.PrjPcb</t>
  </si>
  <si>
    <t>None</t>
  </si>
  <si>
    <t>1/25/2026</t>
  </si>
  <si>
    <t>8:30:27 AM</t>
  </si>
  <si>
    <t>SoftCore SA Adapter</t>
  </si>
  <si>
    <t>IMR-006-SCH</t>
  </si>
  <si>
    <t>1</t>
  </si>
  <si>
    <t>Hab S Collector</t>
  </si>
  <si>
    <t>Quantity</t>
  </si>
  <si>
    <t>LibRef</t>
  </si>
  <si>
    <t>CAP_SMD_47UF_16V_1210</t>
  </si>
  <si>
    <t>CAP_SMD_0.1UF_50V_0805</t>
  </si>
  <si>
    <t>CAP_SMD_470PF_50V_0805</t>
  </si>
  <si>
    <t>CAP_SMD_10UF_50V_0805</t>
  </si>
  <si>
    <t>CAP_SMD_220PF_50V_0805</t>
  </si>
  <si>
    <t>CAP_SMD_3.3NF_50V_0805</t>
  </si>
  <si>
    <t>CAP_SMD_1UF_50V_0805</t>
  </si>
  <si>
    <t>CAP_SMD_4.7NF_50V_0805</t>
  </si>
  <si>
    <t>CAP_SMD_100UF_16V_SMD</t>
  </si>
  <si>
    <t>CAP_SMD_4.7UF_50V_0805</t>
  </si>
  <si>
    <t>CAP_SMD_22PF_50V_0805</t>
  </si>
  <si>
    <t>CAP_SMD_470NF_50V_0805</t>
  </si>
  <si>
    <t>CAP_SMD_27PF_50V_0805</t>
  </si>
  <si>
    <t>CAP_SMD_2.2UF_50V_0805</t>
  </si>
  <si>
    <t>DIODE_1N4148W-7-F</t>
  </si>
  <si>
    <t>CONN_HEADER_12P_100MIL_RA</t>
  </si>
  <si>
    <t>CONN_MICRO-SD_DM3BT-DSF-PEJS</t>
  </si>
  <si>
    <t>CONN_HEADER_3P_100MIL_VERT</t>
  </si>
  <si>
    <t>CONN_MOLEX_0731713150</t>
  </si>
  <si>
    <t>CONN_HEADER_2P_100MIL_VERT, CONN_JUMPER_2P_100MIL_VERT, CONN_JUMPER_2P_100MIL_VERT, CONN_JUMPER_2P_100MIL_VERT</t>
  </si>
  <si>
    <t>CONN_BATT_18650</t>
  </si>
  <si>
    <t>INDUCTOR_74439324022</t>
  </si>
  <si>
    <t>INDUCTOR_VLS3012ET-150M</t>
  </si>
  <si>
    <t>LED_GREEN_LTST-C170GKT</t>
  </si>
  <si>
    <t>LED_YELLOW_LTST-C170YKT</t>
  </si>
  <si>
    <t>LED_RED_LTST-C170EKT</t>
  </si>
  <si>
    <t>MECHANICAL_SCREW_M3X6_PAN_HEAD</t>
  </si>
  <si>
    <t>MECHANICAL_STANDOFF_M3X20</t>
  </si>
  <si>
    <t>MECHANICAL_SPEAKER_MOUNTED</t>
  </si>
  <si>
    <t>MODULE_ARTY_A7</t>
  </si>
  <si>
    <t>MOSFET_NCH_2N7002-7-F</t>
  </si>
  <si>
    <t>MOSFET_PCH_IRLML5103TRPBF</t>
  </si>
  <si>
    <t>RES_SMD_240_0805_1/8W_1%</t>
  </si>
  <si>
    <t>RES_SMD_10K_0805_1/4W_1%</t>
  </si>
  <si>
    <t>RES_SMD_200_0805_1/8W_1%</t>
  </si>
  <si>
    <t>RES_SMD_3.0K_0805_1/8W_1%</t>
  </si>
  <si>
    <t>RES_SMD_1.0K_0805_1/8W_1%</t>
  </si>
  <si>
    <t>RES_SMD_1.5K_0805_1/8W_0.1%</t>
  </si>
  <si>
    <t>RES_SMD_22K_0805_1/8W_1%</t>
  </si>
  <si>
    <t>RES_POT_10K_2XGANG_LINEAR</t>
  </si>
  <si>
    <t>RES_SMD_7.5K_0805_1/8W_1%</t>
  </si>
  <si>
    <t>RES_SMD_2.49K_0805_1/8W_1%</t>
  </si>
  <si>
    <t>RES_SMD_0_0805_1/8W_1%</t>
  </si>
  <si>
    <t>RES_POT_10K_1XGANG_LINEAR</t>
  </si>
  <si>
    <t>RES_SMD_1.69K_0805_1/8W_1%</t>
  </si>
  <si>
    <t>RES_SMD_178K_0805_1/8W_1%</t>
  </si>
  <si>
    <t>RES_SMD_102K_0805_1/8W_1%</t>
  </si>
  <si>
    <t>RES_SMD_100K_0805_1/4W_1%</t>
  </si>
  <si>
    <t>RES_SMD_48.7K_0805_1/8W_1%</t>
  </si>
  <si>
    <t>RES_SMD_17.4K_0805_1/8W_1%</t>
  </si>
  <si>
    <t>RES_SMD_17.8K_0805_1/8W_1%</t>
  </si>
  <si>
    <t>RES_SMD_6.81K_0805_1/8W_1%</t>
  </si>
  <si>
    <t>RES_SMD_1M_0805_1/8W_1%</t>
  </si>
  <si>
    <t>RES_SMD_255K_0805_1/8W_1%</t>
  </si>
  <si>
    <t>RELAY_HE721C0500</t>
  </si>
  <si>
    <t>CONN_SPKR_HEADER_2P_100MIL</t>
  </si>
  <si>
    <t>SWITCH_EVQ-Q2U02W</t>
  </si>
  <si>
    <t>SWITCH_SLW-12689-4A-N-D</t>
  </si>
  <si>
    <t>CONN_TEST_POINT_S1751-46R</t>
  </si>
  <si>
    <t>IC_MCP23S08T-E/SO</t>
  </si>
  <si>
    <t>MODULE_DISPLAY_128X64_2.42</t>
  </si>
  <si>
    <t>IC_AD7476ARTZ-REEL7</t>
  </si>
  <si>
    <t>IC_OPAMP_AD8606ARZ-REEL7</t>
  </si>
  <si>
    <t>IC_LM4990MMX/NOPB</t>
  </si>
  <si>
    <t>IC_OPAMP_TLV9302IDR</t>
  </si>
  <si>
    <t>IC_SMPS_TPS552892RYQR</t>
  </si>
  <si>
    <t>IC_REG_AZ1117CH-ADJTRG1</t>
  </si>
  <si>
    <t>IC_SMPS_LM43601PWPR</t>
  </si>
  <si>
    <t>Description</t>
  </si>
  <si>
    <t>CAP CER 47UF 50V X5R 1210</t>
  </si>
  <si>
    <t>CAP CER 0.1UF 50V X7R 0805</t>
  </si>
  <si>
    <t>CAP CER 470PF 50V COG/NP0 0805</t>
  </si>
  <si>
    <t>CAP CER 10UF 50V X5R 0805</t>
  </si>
  <si>
    <t>CAP CER 220PF 50V COG/NP0 0805</t>
  </si>
  <si>
    <t>CAP CER 3.3NF 50V COG/NP0 0805</t>
  </si>
  <si>
    <t>CAP CER 1UF 50V X7R 0805</t>
  </si>
  <si>
    <t>CAP CER 4.7NF 50V X7R 0805</t>
  </si>
  <si>
    <t>CAP CER 100UF 16V X7S SMD</t>
  </si>
  <si>
    <t>CAP CER 4.7UF 50V X5R 0805</t>
  </si>
  <si>
    <t>CAP CER 22PF 50V X7R 0805</t>
  </si>
  <si>
    <t>CAP CER 0.47UF 6.3V X5R 0402</t>
  </si>
  <si>
    <t>CAP CER 27PF 50V C0G/NP0 0805</t>
  </si>
  <si>
    <t>CAP CER 2.2UF 50V X5R 0805</t>
  </si>
  <si>
    <t>RELAY REED SPDT 250MA 5V</t>
  </si>
  <si>
    <t>CONN HEADER R/A 12POS 2.54MM</t>
  </si>
  <si>
    <t>CONN MICRO SD CARD R/A SMD</t>
  </si>
  <si>
    <t>CONN HEADER VERT 3POS 2.54MM</t>
  </si>
  <si>
    <t>CONN BNC RCPT R/A 50 OHM PCB</t>
  </si>
  <si>
    <t>CONN HEADER VERT 2POS 2.54MM</t>
  </si>
  <si>
    <t>POWER INDUCTOR 4030; 2.2UH; 7.80</t>
  </si>
  <si>
    <t>FIXED IND 15UH 550MA 516MOHM SMD</t>
  </si>
  <si>
    <t>LED GREEN CLEAR SMD</t>
  </si>
  <si>
    <t>LED YELLOW CLEAR SMD</t>
  </si>
  <si>
    <t>LED RED CLEAR SMD</t>
  </si>
  <si>
    <t>SCREW M3X6 PAN HEAD SS</t>
  </si>
  <si>
    <t>HEX STANDOFF M3 BRASS 20MM</t>
  </si>
  <si>
    <t>SPEAKER PANEL MOUNT</t>
  </si>
  <si>
    <t>DEVELOPMENT BOARD FPGA XILINX A7</t>
  </si>
  <si>
    <t>MOSFET N-CH 60V 115MA SOT23-3</t>
  </si>
  <si>
    <t>MOSFET P-CH 30V 760MA SOT23</t>
  </si>
  <si>
    <t>RES SMD 240 OHM 1% 1/8W 0805</t>
  </si>
  <si>
    <t>RES SMD 10K OHM 1% 1/4W 0805</t>
  </si>
  <si>
    <t>RES SMD 200 OHM 1% 1/8W 0805</t>
  </si>
  <si>
    <t>RES SMD 3.0K OHM 1% 1/8W 0805</t>
  </si>
  <si>
    <t>RES SMD 1.0K OHM 1% 1/8W 0805</t>
  </si>
  <si>
    <t>RES SMD 1.5K OHM 0.1% 1/8W 0805</t>
  </si>
  <si>
    <t>RES SMD 22K OHM 1% 1/8W 0805</t>
  </si>
  <si>
    <t>POT 10K OHM 1/20W LINEAR - 2X GANG</t>
  </si>
  <si>
    <t>RES SMD 7.5K OHM 1% 1/8W 0805</t>
  </si>
  <si>
    <t>RES SMD 2.49K OHM 1% 1/8W 0805</t>
  </si>
  <si>
    <t>RES SMD 0 OHM 1% 1/8W 0805</t>
  </si>
  <si>
    <t>POT 10K OHM 1/20W LINEAR - 1X GANG</t>
  </si>
  <si>
    <t>RES SMD 1.69K OHM 1% 1/8W 0805</t>
  </si>
  <si>
    <t>RES SMD 178K OHM 1% 1/8W 0805</t>
  </si>
  <si>
    <t>RES SMD 102K OHM 1% 1/8W 0805</t>
  </si>
  <si>
    <t>RES SMD 100K OHM 1% 1/4W 0805</t>
  </si>
  <si>
    <t>RES SMD 48.7K OHM 1% 1/8W 0805</t>
  </si>
  <si>
    <t>RES SMD 17.4K OHM 1% 1/8W 0805</t>
  </si>
  <si>
    <t>RES SMD 17.8K OHM 1% 1/8W 0805</t>
  </si>
  <si>
    <t>RES SMD 6.81K OHM 1% 1/8W 0805</t>
  </si>
  <si>
    <t>RES SMD 1M OHM 1% 1/8W 0805</t>
  </si>
  <si>
    <t>RES SMD 255K OHM 1% 1/8W 0805</t>
  </si>
  <si>
    <t>CONN SPEAKER HEADER GENERIC VERT 2POS 2.54MM</t>
  </si>
  <si>
    <t>SWITCH TACTILE SPST-NO 0.02A 15V</t>
  </si>
  <si>
    <t>SWITCH SLIDE SPDT 300MA 50V</t>
  </si>
  <si>
    <t>PCB TEST POINT CONNECT</t>
  </si>
  <si>
    <t>IC IO XPNDR 10MHZ SPI 18SOIC</t>
  </si>
  <si>
    <t>DISPLAY 128X64 SSD1309 2.42" OLED WHITE</t>
  </si>
  <si>
    <t>IC ADC 12BIT SAR SOT23-6</t>
  </si>
  <si>
    <t>IC OPAMP GP 2 CIRCUIT 8SOIC</t>
  </si>
  <si>
    <t>IC AMP CLASS AB MONO 2W 8VSSOP</t>
  </si>
  <si>
    <t>IC REG BUCK ADJ 1A 16HTSSOP</t>
  </si>
  <si>
    <t>IC REG BUCK ADJ 2A SOT23</t>
  </si>
  <si>
    <t>Designator</t>
  </si>
  <si>
    <t>C1, C4, C15, C43, C46</t>
  </si>
  <si>
    <t>C2, C3, C5, C6, C10, C11, C12, C13, C16, C17, C20, C22, C23, C26, C27, C32, C33, C35</t>
  </si>
  <si>
    <t>C7</t>
  </si>
  <si>
    <t>C8, C30, C40, C41, C49</t>
  </si>
  <si>
    <t>C9, C14</t>
  </si>
  <si>
    <t>C18, C19</t>
  </si>
  <si>
    <t>C21, C31</t>
  </si>
  <si>
    <t>C28, C38</t>
  </si>
  <si>
    <t>C29, C36, C37</t>
  </si>
  <si>
    <t>C34, C45, C47</t>
  </si>
  <si>
    <t>C39</t>
  </si>
  <si>
    <t>C42</t>
  </si>
  <si>
    <t>C44</t>
  </si>
  <si>
    <t>C48</t>
  </si>
  <si>
    <t>D1, D2, D3, D4, D5, D6, D7, D8</t>
  </si>
  <si>
    <t>J1, J3, J4, J6</t>
  </si>
  <si>
    <t>J2</t>
  </si>
  <si>
    <t>J5</t>
  </si>
  <si>
    <t>J7</t>
  </si>
  <si>
    <t>J8, J9, J10, J12</t>
  </si>
  <si>
    <t>J11</t>
  </si>
  <si>
    <t>L1</t>
  </si>
  <si>
    <t>L2</t>
  </si>
  <si>
    <t>LED1, LED2, LED3, LED7, LED8</t>
  </si>
  <si>
    <t>LED4, LED5</t>
  </si>
  <si>
    <t>LED6</t>
  </si>
  <si>
    <t>MECH1, MECH2, MECH3, MECH4</t>
  </si>
  <si>
    <t>MECH5, MECH6, MECH7, MECH8</t>
  </si>
  <si>
    <t>MECH9</t>
  </si>
  <si>
    <t>MECH10</t>
  </si>
  <si>
    <t>Q1, Q3</t>
  </si>
  <si>
    <t>Q2, Q4</t>
  </si>
  <si>
    <t>R1, R2, R3, R4, R5, R6, R7, R8</t>
  </si>
  <si>
    <t>R9, R10, R11, R12, R13, R14, R15, R16, R17, R18, R19, R20, R22, R28, R29, R30, R31, R32, R33, R35, R36, R38, R39, R40, R44, R49</t>
  </si>
  <si>
    <t>R21</t>
  </si>
  <si>
    <t>R23</t>
  </si>
  <si>
    <t>R24, R27, R41, R45</t>
  </si>
  <si>
    <t>R25, R26</t>
  </si>
  <si>
    <t>R34, R37</t>
  </si>
  <si>
    <t>R42</t>
  </si>
  <si>
    <t>R43</t>
  </si>
  <si>
    <t>R46, R64</t>
  </si>
  <si>
    <t>R47, R48, R54, R61, R62, R72</t>
  </si>
  <si>
    <t>R50</t>
  </si>
  <si>
    <t>R51</t>
  </si>
  <si>
    <t>R52</t>
  </si>
  <si>
    <t>R53, R56</t>
  </si>
  <si>
    <t>R55, R57, R63, R66, R67, R68, R70</t>
  </si>
  <si>
    <t>R58</t>
  </si>
  <si>
    <t>R59</t>
  </si>
  <si>
    <t>R60</t>
  </si>
  <si>
    <t>R65</t>
  </si>
  <si>
    <t>R69</t>
  </si>
  <si>
    <t>R71</t>
  </si>
  <si>
    <t>REL1</t>
  </si>
  <si>
    <t>SPK1</t>
  </si>
  <si>
    <t>SW1, SW2, SW3, SW4, SW5</t>
  </si>
  <si>
    <t>SW6</t>
  </si>
  <si>
    <t>TP5, TP8, TP10, TP12, TP14, TP15, TP16, TP17</t>
  </si>
  <si>
    <t>U1, U2</t>
  </si>
  <si>
    <t>U3</t>
  </si>
  <si>
    <t>U4, U6</t>
  </si>
  <si>
    <t>U5, U7, U8</t>
  </si>
  <si>
    <t>U9</t>
  </si>
  <si>
    <t>U10</t>
  </si>
  <si>
    <t>U11</t>
  </si>
  <si>
    <t>U12</t>
  </si>
  <si>
    <t>U13</t>
  </si>
  <si>
    <t>MFG</t>
  </si>
  <si>
    <t>Murata Electronics</t>
  </si>
  <si>
    <t>KYOCERA AVX</t>
  </si>
  <si>
    <t>Yageo</t>
  </si>
  <si>
    <t>KEMET</t>
  </si>
  <si>
    <t>Taiyo Yuden</t>
  </si>
  <si>
    <t>Diodes Inc</t>
  </si>
  <si>
    <t>Samtec Inc.</t>
  </si>
  <si>
    <t>Hirose Electric Co Ltd</t>
  </si>
  <si>
    <t>Sullins Connector Solutions</t>
  </si>
  <si>
    <t>Molex</t>
  </si>
  <si>
    <t>Keystone Electronics</t>
  </si>
  <si>
    <t>Würth Elektronik</t>
  </si>
  <si>
    <t>TDK Corporation</t>
  </si>
  <si>
    <t>Lite-On</t>
  </si>
  <si>
    <t>APM Hexseal</t>
  </si>
  <si>
    <t>ARDUINO</t>
  </si>
  <si>
    <t>Digilent, Inc.</t>
  </si>
  <si>
    <t>Infineon Technologies</t>
  </si>
  <si>
    <t>Bourns Inc.</t>
  </si>
  <si>
    <t>Littlefuse</t>
  </si>
  <si>
    <t>GENERIC</t>
  </si>
  <si>
    <t>American Zettler</t>
  </si>
  <si>
    <t>Same Sky</t>
  </si>
  <si>
    <t>Harwin Inc</t>
  </si>
  <si>
    <t>Microchip</t>
  </si>
  <si>
    <t>UNKNOWN</t>
  </si>
  <si>
    <t>Analog Devices</t>
  </si>
  <si>
    <t>Texas Instruments</t>
  </si>
  <si>
    <t>Diodes Incorporated</t>
  </si>
  <si>
    <t>MFG_PN</t>
  </si>
  <si>
    <t>GRM32ER60J476ME20L</t>
  </si>
  <si>
    <t>KGM21NR71H104KT</t>
  </si>
  <si>
    <t>CC0805JRNPO9BN471</t>
  </si>
  <si>
    <t>GRM21BR61H106KE43L</t>
  </si>
  <si>
    <t>CC0805JRNPO9BN221</t>
  </si>
  <si>
    <t>GRM2165C1H332JA01D</t>
  </si>
  <si>
    <t>08055C105K4T2A</t>
  </si>
  <si>
    <t>C0805C472K5RACAUTO</t>
  </si>
  <si>
    <t>EMK325ABJ107MM-P</t>
  </si>
  <si>
    <t>GRM21BR61H475KE51L</t>
  </si>
  <si>
    <t>C0805C220K5RACAUTO</t>
  </si>
  <si>
    <t>GRM155R60J474KE19D</t>
  </si>
  <si>
    <t>C0805C270J5GACTU</t>
  </si>
  <si>
    <t>GRM219R61E225KA12J</t>
  </si>
  <si>
    <t>1N4148W-7-F</t>
  </si>
  <si>
    <t>TSW-106-08-T-D-RA</t>
  </si>
  <si>
    <t>DM3BT-DSF-PEJS</t>
  </si>
  <si>
    <t>PREC003SFAN-RC</t>
  </si>
  <si>
    <t>0731713150</t>
  </si>
  <si>
    <t>PREC002SFAN-RC</t>
  </si>
  <si>
    <t>54</t>
  </si>
  <si>
    <t>74439324022</t>
  </si>
  <si>
    <t>VLS3012ET-150M</t>
  </si>
  <si>
    <t>LTST-C170GKT</t>
  </si>
  <si>
    <t>LTST-C170YKT</t>
  </si>
  <si>
    <t>LTST-C170EKT</t>
  </si>
  <si>
    <t>RM3X6MM 2701</t>
  </si>
  <si>
    <t>24407</t>
  </si>
  <si>
    <t>312815-3W</t>
  </si>
  <si>
    <t>410-319-1</t>
  </si>
  <si>
    <t>2N7002-7-F</t>
  </si>
  <si>
    <t>IRLML5103TRPBF</t>
  </si>
  <si>
    <t>RC0805FR-13240RL</t>
  </si>
  <si>
    <t>RC0805FR-7W10KL</t>
  </si>
  <si>
    <t>RC0805FR-07200RL</t>
  </si>
  <si>
    <t>RC0805FR-133KL</t>
  </si>
  <si>
    <t>RC0805FR-071KL</t>
  </si>
  <si>
    <t>RT0805BRD071K5L</t>
  </si>
  <si>
    <t>RC0805FR-0722KL</t>
  </si>
  <si>
    <t>PRS12R-4115K-103B1</t>
  </si>
  <si>
    <t>RC0805FR-077K5L</t>
  </si>
  <si>
    <t>RC0805FR-132K49L</t>
  </si>
  <si>
    <t>RC0805JR-070RL</t>
  </si>
  <si>
    <t>3386P-1-103TLF</t>
  </si>
  <si>
    <t>RC0805FR-071K69L</t>
  </si>
  <si>
    <t>RC0805FR-07178KL</t>
  </si>
  <si>
    <t>RC0805FR-07102KL</t>
  </si>
  <si>
    <t>RC0805FR-07100KL</t>
  </si>
  <si>
    <t>RC0805FR-0748K7L</t>
  </si>
  <si>
    <t>RC0805FR-0717K4L</t>
  </si>
  <si>
    <t>RC0805FR-0717K8L</t>
  </si>
  <si>
    <t>RC0805FR-076K81L</t>
  </si>
  <si>
    <t>RC0805FR-071ML</t>
  </si>
  <si>
    <t>RC0805FR-07255KL</t>
  </si>
  <si>
    <t>HE721C0500</t>
  </si>
  <si>
    <t>TBD</t>
  </si>
  <si>
    <t>EVQ-Q2U02W</t>
  </si>
  <si>
    <t>SLW-12689-4A-N-D</t>
  </si>
  <si>
    <t>S1751-46R</t>
  </si>
  <si>
    <t>MCP23S08T-E/SO</t>
  </si>
  <si>
    <t>SSD1309_128X64_2.42"</t>
  </si>
  <si>
    <t>AD7476ARTZ-REEL7</t>
  </si>
  <si>
    <t>AD8606ARZ-REEL7</t>
  </si>
  <si>
    <t>LM4990MMX/NOPB</t>
  </si>
  <si>
    <t>TLV9302IDR</t>
  </si>
  <si>
    <t>TPS552892RYQR</t>
  </si>
  <si>
    <t>AZ1117CH-ADJTRG1</t>
  </si>
  <si>
    <t>LM43601PWPR</t>
  </si>
  <si>
    <t>Supplier 1</t>
  </si>
  <si>
    <t>DigiKey</t>
  </si>
  <si>
    <t>Digi-Key</t>
  </si>
  <si>
    <t>Amazon</t>
  </si>
  <si>
    <t>Supplier Part Number 1</t>
  </si>
  <si>
    <t>490-1887-1-ND</t>
  </si>
  <si>
    <t>478-KGM21NR71H104KTCT-ND</t>
  </si>
  <si>
    <t>311-1119-1-ND</t>
  </si>
  <si>
    <t>490-18663-1-ND</t>
  </si>
  <si>
    <t>311-1115-1-ND</t>
  </si>
  <si>
    <t>490-1632-1-ND</t>
  </si>
  <si>
    <t>478-KAM21KR71H105KUCT-ND</t>
  </si>
  <si>
    <t>399-6969-1-ND</t>
  </si>
  <si>
    <t>587-5426-1-ND</t>
  </si>
  <si>
    <t>490-10751-1-ND</t>
  </si>
  <si>
    <t>399-17627-1-ND</t>
  </si>
  <si>
    <t>490-3266-1-ND</t>
  </si>
  <si>
    <t>399-C0805C270J5GACTUCT-ND</t>
  </si>
  <si>
    <t>490-GRM219R61E225KA12JCT-ND</t>
  </si>
  <si>
    <t>1N4148W-FDICT-ND</t>
  </si>
  <si>
    <t>SAM1049-06-ND</t>
  </si>
  <si>
    <t>HR1942CT-ND</t>
  </si>
  <si>
    <t>S1212EC-03-ND</t>
  </si>
  <si>
    <t>WM20430-ND</t>
  </si>
  <si>
    <t>S1212EC-02-ND</t>
  </si>
  <si>
    <t>36-54-ND</t>
  </si>
  <si>
    <t>732-74439324022CT-ND</t>
  </si>
  <si>
    <t>445-6660-1-ND</t>
  </si>
  <si>
    <t>160-1179-1-ND</t>
  </si>
  <si>
    <t>160-1175-1-ND</t>
  </si>
  <si>
    <t>160-1178-1-ND</t>
  </si>
  <si>
    <t>335-1156-ND</t>
  </si>
  <si>
    <t>36-24407-ND</t>
  </si>
  <si>
    <t>1286-1206-ND</t>
  </si>
  <si>
    <t>2N7002-FDICT-ND</t>
  </si>
  <si>
    <t>IRLML5103PBFCT-ND</t>
  </si>
  <si>
    <t>13-RC0805FR-13240RLCT-ND</t>
  </si>
  <si>
    <t>13-RC0805FR-7W10KLCT-ND</t>
  </si>
  <si>
    <t>311-200CRCT-ND</t>
  </si>
  <si>
    <t>13-RC0805FR-133KLCT-ND</t>
  </si>
  <si>
    <t>311-1.00KCRCT-ND</t>
  </si>
  <si>
    <t>YAG1814CT-ND</t>
  </si>
  <si>
    <t>311-22.0KCRCT-ND</t>
  </si>
  <si>
    <t>118-PRS12R-4115K-103B1-ND</t>
  </si>
  <si>
    <t>311-7.50KCRCT-ND</t>
  </si>
  <si>
    <t>13-RC0805FR-132K49LCT-ND</t>
  </si>
  <si>
    <t>311-0.0ARCT-ND</t>
  </si>
  <si>
    <t>3386P-103TLF-ND</t>
  </si>
  <si>
    <t>311-1.69KCRCT-ND</t>
  </si>
  <si>
    <t>311-178KCRCT-ND</t>
  </si>
  <si>
    <t>311-102KCRCT-ND</t>
  </si>
  <si>
    <t>311-100KCRCT-ND</t>
  </si>
  <si>
    <t>311-48.7KCRCT-ND</t>
  </si>
  <si>
    <t>311-17.4KCRCT-ND</t>
  </si>
  <si>
    <t>311-17.8KCRCT-ND</t>
  </si>
  <si>
    <t>311-6.81KCRCT-ND</t>
  </si>
  <si>
    <t>311-1.00MCRCT-ND</t>
  </si>
  <si>
    <t>311-255KCRCT-ND</t>
  </si>
  <si>
    <t>HE112-ND</t>
  </si>
  <si>
    <t>P12954SCT-ND</t>
  </si>
  <si>
    <t>2223-SLW-12689-4A-N-D-ND</t>
  </si>
  <si>
    <t>952-1478-1-ND</t>
  </si>
  <si>
    <t>MCP23S08T-E/SOCT-ND</t>
  </si>
  <si>
    <t>SSD1309 2.42"</t>
  </si>
  <si>
    <t>AD7476ARTZ-REEL7CT-ND</t>
  </si>
  <si>
    <t>AD8606ARZ-REEL7CT-ND</t>
  </si>
  <si>
    <t>296-37579-1-ND</t>
  </si>
  <si>
    <t>296-53513-1-ND</t>
  </si>
  <si>
    <t>296-TPS552892RYQRCT-ND</t>
  </si>
  <si>
    <t>AZ1117CH-ADJTRG1DICT-ND</t>
  </si>
  <si>
    <t>296-40221-1-ND</t>
  </si>
  <si>
    <t>Unit Price</t>
  </si>
  <si>
    <t>.28</t>
  </si>
  <si>
    <t>.1</t>
  </si>
  <si>
    <t>.11</t>
  </si>
  <si>
    <t>.13</t>
  </si>
  <si>
    <t>.27</t>
  </si>
  <si>
    <t>.12</t>
  </si>
  <si>
    <t>1.92</t>
  </si>
  <si>
    <t>.19</t>
  </si>
  <si>
    <t>.24</t>
  </si>
  <si>
    <t>.10</t>
  </si>
  <si>
    <t>.38</t>
  </si>
  <si>
    <t>.16</t>
  </si>
  <si>
    <t>.93</t>
  </si>
  <si>
    <t>2.30</t>
  </si>
  <si>
    <t>.07</t>
  </si>
  <si>
    <t>1.40</t>
  </si>
  <si>
    <t>1.10</t>
  </si>
  <si>
    <t>1.80</t>
  </si>
  <si>
    <t>.26</t>
  </si>
  <si>
    <t>.15</t>
  </si>
  <si>
    <t>.18</t>
  </si>
  <si>
    <t>.58</t>
  </si>
  <si>
    <t>1.36</t>
  </si>
  <si>
    <t>2.50</t>
  </si>
  <si>
    <t>299.00</t>
  </si>
  <si>
    <t>.20</t>
  </si>
  <si>
    <t>.45</t>
  </si>
  <si>
    <t>2.56</t>
  </si>
  <si>
    <t>2.20</t>
  </si>
  <si>
    <t>3.77</t>
  </si>
  <si>
    <t>1.00</t>
  </si>
  <si>
    <t>.25</t>
  </si>
  <si>
    <t>.48</t>
  </si>
  <si>
    <t>1.54</t>
  </si>
  <si>
    <t>16.99</t>
  </si>
  <si>
    <t>12.02</t>
  </si>
  <si>
    <t>4.94</t>
  </si>
  <si>
    <t>.66</t>
  </si>
  <si>
    <t>6.42</t>
  </si>
  <si>
    <t>.2</t>
  </si>
  <si>
    <t>4.41</t>
  </si>
  <si>
    <t>C:\IMR_Projects\IMR\Softcore_SA\Hardware\Softcore_SA_HW\Softcore_SA_HW.PrjPcb</t>
  </si>
  <si>
    <t>192</t>
  </si>
  <si>
    <t>1/25/2026 8:30:27 AM</t>
  </si>
  <si>
    <t>BOM_PartType</t>
  </si>
  <si>
    <t>BOM</t>
  </si>
  <si>
    <t>Bill of Materials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</si>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</sst>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:ss\ AM/PM;@"/>
    <numFmt numFmtId="166" formatCode="&quot;$&quot;#,##0.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28"/>
      <color indexed="13"/>
      <name val="Arial"/>
      <family val="2"/>
    </font>
    <font>
      <b/>
      <sz val="24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5" fillId="2" borderId="1" xfId="0" applyFont="1" applyFill="1" applyBorder="1"/>
    <xf numFmtId="0" fontId="5" fillId="2" borderId="2" xfId="0" applyFont="1" applyFill="1" applyBorder="1"/>
    <xf numFmtId="0" fontId="15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5" fillId="2" borderId="0" xfId="0" applyFont="1" applyFill="1"/>
    <xf numFmtId="0" fontId="5" fillId="2" borderId="5" xfId="0" applyFont="1" applyFill="1" applyBorder="1"/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5" fillId="2" borderId="8" xfId="0" applyFont="1" applyFill="1" applyBorder="1"/>
    <xf numFmtId="0" fontId="1" fillId="0" borderId="8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0" fillId="0" borderId="10" xfId="0" applyBorder="1" applyAlignment="1">
      <alignment vertical="top"/>
    </xf>
    <xf numFmtId="0" fontId="6" fillId="2" borderId="7" xfId="0" applyFont="1" applyFill="1" applyBorder="1" applyAlignment="1">
      <alignment vertical="center"/>
    </xf>
    <xf numFmtId="0" fontId="5" fillId="2" borderId="9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8" fillId="4" borderId="0" xfId="0" applyFont="1" applyFill="1"/>
    <xf numFmtId="0" fontId="9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/>
    <xf numFmtId="0" fontId="9" fillId="4" borderId="5" xfId="0" applyFont="1" applyFill="1" applyBorder="1"/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9" fillId="4" borderId="14" xfId="0" applyFont="1" applyFill="1" applyBorder="1"/>
    <xf numFmtId="0" fontId="8" fillId="4" borderId="14" xfId="0" applyFont="1" applyFill="1" applyBorder="1"/>
    <xf numFmtId="0" fontId="9" fillId="4" borderId="14" xfId="0" applyFont="1" applyFill="1" applyBorder="1" applyAlignment="1">
      <alignment horizontal="left"/>
    </xf>
    <xf numFmtId="0" fontId="8" fillId="4" borderId="5" xfId="0" applyFont="1" applyFill="1" applyBorder="1"/>
    <xf numFmtId="0" fontId="10" fillId="4" borderId="0" xfId="0" applyFont="1" applyFill="1"/>
    <xf numFmtId="164" fontId="9" fillId="4" borderId="14" xfId="0" applyNumberFormat="1" applyFont="1" applyFill="1" applyBorder="1" applyAlignment="1">
      <alignment horizontal="left"/>
    </xf>
    <xf numFmtId="165" fontId="9" fillId="4" borderId="14" xfId="0" applyNumberFormat="1" applyFont="1" applyFill="1" applyBorder="1" applyAlignment="1">
      <alignment horizontal="left"/>
    </xf>
    <xf numFmtId="0" fontId="11" fillId="4" borderId="15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" fillId="0" borderId="18" xfId="0" applyFont="1" applyBorder="1" applyAlignment="1" applyProtection="1">
      <alignment vertical="top"/>
      <protection locked="0"/>
    </xf>
    <xf numFmtId="0" fontId="4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left" vertical="top"/>
      <protection locked="0"/>
    </xf>
    <xf numFmtId="0" fontId="7" fillId="6" borderId="23" xfId="0" applyFont="1" applyFill="1" applyBorder="1" applyAlignment="1">
      <alignment vertical="center" wrapText="1"/>
    </xf>
    <xf numFmtId="0" fontId="7" fillId="5" borderId="2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vertical="center" wrapText="1"/>
    </xf>
    <xf numFmtId="0" fontId="18" fillId="4" borderId="15" xfId="0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6" fontId="7" fillId="6" borderId="22" xfId="0" applyNumberFormat="1" applyFont="1" applyFill="1" applyBorder="1" applyAlignment="1">
      <alignment horizontal="center" vertical="center" wrapText="1"/>
    </xf>
    <xf numFmtId="166" fontId="14" fillId="4" borderId="21" xfId="0" applyNumberFormat="1" applyFont="1" applyFill="1" applyBorder="1" applyAlignment="1">
      <alignment horizontal="center" vertical="center" wrapText="1"/>
    </xf>
    <xf numFmtId="166" fontId="7" fillId="7" borderId="22" xfId="0" applyNumberFormat="1" applyFont="1" applyFill="1" applyBorder="1" applyAlignment="1">
      <alignment horizontal="center" vertical="center" wrapText="1"/>
    </xf>
    <xf numFmtId="0" fontId="8" fillId="4" borderId="0" xfId="0" quotePrefix="1" applyFont="1" applyFill="1" applyAlignment="1">
      <alignment horizontal="left"/>
    </xf>
    <xf numFmtId="0" fontId="8" fillId="4" borderId="13" xfId="0" quotePrefix="1" applyFont="1" applyFill="1" applyBorder="1" applyAlignment="1">
      <alignment horizontal="left"/>
    </xf>
    <xf numFmtId="0" fontId="8" fillId="4" borderId="14" xfId="0" quotePrefix="1" applyFont="1" applyFill="1" applyBorder="1" applyAlignment="1">
      <alignment horizontal="left"/>
    </xf>
    <xf numFmtId="0" fontId="9" fillId="4" borderId="2" xfId="0" quotePrefix="1" applyFont="1" applyFill="1" applyBorder="1" applyAlignment="1">
      <alignment horizontal="left"/>
    </xf>
    <xf numFmtId="0" fontId="17" fillId="2" borderId="7" xfId="0" quotePrefix="1" applyFont="1" applyFill="1" applyBorder="1" applyAlignment="1">
      <alignment horizontal="left" vertical="center"/>
    </xf>
    <xf numFmtId="0" fontId="4" fillId="2" borderId="29" xfId="0" quotePrefix="1" applyFont="1" applyFill="1" applyBorder="1" applyAlignment="1">
      <alignment horizontal="center" vertical="center"/>
    </xf>
    <xf numFmtId="0" fontId="4" fillId="2" borderId="11" xfId="0" quotePrefix="1" applyFont="1" applyFill="1" applyBorder="1" applyAlignment="1">
      <alignment horizontal="center" vertical="center"/>
    </xf>
    <xf numFmtId="0" fontId="7" fillId="6" borderId="25" xfId="0" quotePrefix="1" applyFont="1" applyFill="1" applyBorder="1" applyAlignment="1">
      <alignment vertical="center" wrapText="1"/>
    </xf>
    <xf numFmtId="0" fontId="7" fillId="5" borderId="26" xfId="0" quotePrefix="1" applyFont="1" applyFill="1" applyBorder="1" applyAlignment="1">
      <alignment vertical="center" wrapText="1"/>
    </xf>
    <xf numFmtId="0" fontId="7" fillId="6" borderId="27" xfId="0" quotePrefix="1" applyFont="1" applyFill="1" applyBorder="1" applyAlignment="1">
      <alignment vertical="center" wrapText="1"/>
    </xf>
    <xf numFmtId="166" fontId="7" fillId="6" borderId="31" xfId="0" quotePrefix="1" applyNumberFormat="1" applyFont="1" applyFill="1" applyBorder="1" applyAlignment="1">
      <alignment vertical="center" wrapText="1"/>
    </xf>
    <xf numFmtId="166" fontId="7" fillId="5" borderId="32" xfId="0" quotePrefix="1" applyNumberFormat="1" applyFont="1" applyFill="1" applyBorder="1" applyAlignment="1">
      <alignment vertical="center" wrapText="1"/>
    </xf>
    <xf numFmtId="0" fontId="13" fillId="5" borderId="17" xfId="0" quotePrefix="1" applyFont="1" applyFill="1" applyBorder="1" applyAlignment="1">
      <alignment horizontal="left" vertical="center"/>
    </xf>
    <xf numFmtId="0" fontId="13" fillId="3" borderId="0" xfId="0" quotePrefix="1" applyFont="1" applyFill="1" applyAlignment="1">
      <alignment horizontal="left" vertical="center"/>
    </xf>
    <xf numFmtId="0" fontId="13" fillId="5" borderId="0" xfId="0" quotePrefix="1" applyFont="1" applyFill="1" applyAlignment="1">
      <alignment horizontal="left" vertical="center"/>
    </xf>
    <xf numFmtId="0" fontId="15" fillId="0" borderId="30" xfId="0" applyFont="1" applyBorder="1" applyAlignment="1" applyProtection="1">
      <alignment horizontal="left" vertical="top"/>
      <protection locked="0"/>
    </xf>
    <xf numFmtId="0" fontId="15" fillId="0" borderId="14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733425</xdr:colOff>
      <xdr:row>2</xdr:row>
      <xdr:rowOff>28575</xdr:rowOff>
    </xdr:from>
    <xdr:to>
      <xdr:col>11</xdr:col>
      <xdr:colOff>85725</xdr:colOff>
      <xdr:row>7</xdr:row>
      <xdr:rowOff>92869</xdr:rowOff>
    </xdr:to>
    <xdr:pic>
      <xdr:nvPicPr>
        <xdr:cNvPr id="1048" name="Picture 4">
          <a:extLst>
            <a:ext uri="{FF2B5EF4-FFF2-40B4-BE49-F238E27FC236}">
              <a16:creationId xmlns:a16="http://schemas.microsoft.com/office/drawing/2014/main" id="{066993B1-9C9B-413A-A7D6-6B8FD82C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077700" y="657225"/>
          <a:ext cx="3495675" cy="873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6"/>
  <sheetViews>
    <sheetView showGridLines="0" tabSelected="1" zoomScaleNormal="100" workbookViewId="0">
      <selection activeCell="M59" sqref="M59"/>
    </sheetView>
  </sheetViews>
  <sheetFormatPr defaultRowHeight="12.75" x14ac:dyDescent="0.2"/>
  <cols>
    <col min="1" max="1" width="3.140625" style="1" customWidth="1"/>
    <col min="2" max="2" width="4.7109375" style="1" customWidth="1"/>
    <col min="3" max="3" width="8.7109375" style="1" customWidth="1"/>
    <col min="4" max="4" width="25.7109375" style="4" customWidth="1"/>
    <col min="5" max="5" width="50.7109375" style="4" customWidth="1"/>
    <col min="6" max="6" width="25.7109375" style="4" customWidth="1"/>
    <col min="7" max="10" width="25.7109375" style="1" customWidth="1"/>
    <col min="11" max="12" width="10.7109375" style="1" customWidth="1"/>
    <col min="13" max="13" width="10" style="1" customWidth="1"/>
    <col min="14" max="16384" width="9.140625" style="1"/>
  </cols>
  <sheetData>
    <row r="1" spans="1:13" ht="13.5" thickBot="1" x14ac:dyDescent="0.25">
      <c r="A1" s="13"/>
      <c r="B1" s="13"/>
      <c r="C1" s="13"/>
      <c r="D1" s="5"/>
      <c r="E1" s="5"/>
      <c r="F1" s="5"/>
      <c r="G1" s="6"/>
      <c r="H1" s="6"/>
      <c r="I1" s="6"/>
      <c r="J1" s="6"/>
      <c r="K1" s="6"/>
      <c r="L1" s="18"/>
      <c r="M1" s="22"/>
    </row>
    <row r="2" spans="1:13" ht="36" thickBot="1" x14ac:dyDescent="0.25">
      <c r="A2" s="14"/>
      <c r="B2" s="40"/>
      <c r="C2" s="40"/>
      <c r="D2" s="52" t="s">
        <v>28</v>
      </c>
      <c r="E2" s="40"/>
      <c r="F2" s="41"/>
      <c r="G2" s="62" t="s">
        <v>35</v>
      </c>
      <c r="H2" s="23"/>
      <c r="I2" s="23"/>
      <c r="J2" s="23"/>
      <c r="K2" s="23"/>
      <c r="L2" s="24"/>
    </row>
    <row r="3" spans="1:13" x14ac:dyDescent="0.2">
      <c r="A3" s="14"/>
      <c r="B3" s="26"/>
      <c r="C3" s="26"/>
      <c r="D3" s="26" t="s">
        <v>14</v>
      </c>
      <c r="E3" s="58" t="s">
        <v>31</v>
      </c>
      <c r="F3" s="27"/>
      <c r="G3" s="28" t="s">
        <v>25</v>
      </c>
      <c r="H3" s="58" t="s">
        <v>36</v>
      </c>
      <c r="I3" s="26"/>
      <c r="J3" s="26"/>
      <c r="K3" s="26"/>
      <c r="L3" s="30"/>
    </row>
    <row r="4" spans="1:13" x14ac:dyDescent="0.2">
      <c r="A4" s="14"/>
      <c r="B4" s="26"/>
      <c r="C4" s="26"/>
      <c r="D4" s="26" t="s">
        <v>15</v>
      </c>
      <c r="E4" s="59" t="s">
        <v>31</v>
      </c>
      <c r="F4" s="27"/>
      <c r="G4" s="31" t="s">
        <v>26</v>
      </c>
      <c r="H4" s="59" t="s">
        <v>37</v>
      </c>
      <c r="I4" s="29"/>
      <c r="J4" s="29"/>
      <c r="K4" s="29"/>
      <c r="L4" s="30"/>
    </row>
    <row r="5" spans="1:13" x14ac:dyDescent="0.2">
      <c r="A5" s="14"/>
      <c r="B5" s="26"/>
      <c r="C5" s="26"/>
      <c r="D5" s="26" t="s">
        <v>16</v>
      </c>
      <c r="E5" s="60" t="s">
        <v>32</v>
      </c>
      <c r="F5" s="27"/>
      <c r="G5" s="32" t="s">
        <v>27</v>
      </c>
      <c r="H5" s="60" t="s">
        <v>38</v>
      </c>
      <c r="I5" s="29"/>
      <c r="J5" s="29"/>
      <c r="K5" s="29"/>
      <c r="L5" s="30"/>
    </row>
    <row r="6" spans="1:13" x14ac:dyDescent="0.2">
      <c r="A6" s="14"/>
      <c r="B6" s="34"/>
      <c r="C6" s="34"/>
      <c r="D6" s="34"/>
      <c r="E6" s="34"/>
      <c r="F6" s="32"/>
      <c r="G6" s="35"/>
      <c r="H6" s="33"/>
      <c r="I6" s="29"/>
      <c r="J6" s="29"/>
      <c r="K6" s="29"/>
      <c r="L6" s="36"/>
    </row>
    <row r="7" spans="1:13" x14ac:dyDescent="0.2">
      <c r="A7" s="14"/>
      <c r="B7" s="37"/>
      <c r="C7" s="37"/>
      <c r="D7" s="29" t="s">
        <v>18</v>
      </c>
      <c r="E7" s="61" t="s">
        <v>33</v>
      </c>
      <c r="F7" s="61" t="s">
        <v>34</v>
      </c>
      <c r="H7" s="37"/>
      <c r="I7" s="37"/>
      <c r="J7" s="37"/>
      <c r="K7" s="37"/>
      <c r="L7" s="30"/>
    </row>
    <row r="8" spans="1:13" x14ac:dyDescent="0.2">
      <c r="A8" s="14"/>
      <c r="B8" s="33"/>
      <c r="C8" s="33"/>
      <c r="D8" s="33" t="s">
        <v>17</v>
      </c>
      <c r="E8" s="38">
        <f ca="1">TODAY()</f>
        <v>46047</v>
      </c>
      <c r="F8" s="39">
        <f ca="1">NOW()</f>
        <v>46047.3570400463</v>
      </c>
      <c r="H8" s="37"/>
      <c r="I8" s="37"/>
      <c r="J8" s="37"/>
      <c r="K8" s="37"/>
      <c r="L8" s="30"/>
    </row>
    <row r="9" spans="1:13" s="2" customFormat="1" x14ac:dyDescent="0.2">
      <c r="A9" s="14"/>
      <c r="B9" s="45" t="s">
        <v>21</v>
      </c>
      <c r="C9" s="63" t="s">
        <v>39</v>
      </c>
      <c r="D9" s="64" t="s">
        <v>40</v>
      </c>
      <c r="E9" s="64" t="s">
        <v>109</v>
      </c>
      <c r="F9" s="64" t="s">
        <v>174</v>
      </c>
      <c r="G9" s="64" t="s">
        <v>243</v>
      </c>
      <c r="H9" s="64" t="s">
        <v>273</v>
      </c>
      <c r="I9" s="64" t="s">
        <v>342</v>
      </c>
      <c r="J9" s="64" t="s">
        <v>346</v>
      </c>
      <c r="K9" s="64" t="s">
        <v>413</v>
      </c>
      <c r="L9" s="25" t="s">
        <v>29</v>
      </c>
    </row>
    <row r="10" spans="1:13" s="3" customFormat="1" x14ac:dyDescent="0.2">
      <c r="A10" s="14"/>
      <c r="B10" s="48">
        <f t="shared" ref="B10:B41" si="0">ROW(B10) - ROW($B$9)</f>
        <v>1</v>
      </c>
      <c r="C10" s="50">
        <v>5</v>
      </c>
      <c r="D10" s="65" t="s">
        <v>41</v>
      </c>
      <c r="E10" s="65" t="s">
        <v>110</v>
      </c>
      <c r="F10" s="67" t="s">
        <v>175</v>
      </c>
      <c r="G10" s="67" t="s">
        <v>244</v>
      </c>
      <c r="H10" s="67" t="s">
        <v>274</v>
      </c>
      <c r="I10" s="67" t="s">
        <v>343</v>
      </c>
      <c r="J10" s="67" t="s">
        <v>347</v>
      </c>
      <c r="K10" s="68" t="s">
        <v>414</v>
      </c>
      <c r="L10" s="55">
        <f>C10*K10</f>
        <v>1.4000000000000001</v>
      </c>
    </row>
    <row r="11" spans="1:13" s="3" customFormat="1" ht="33.75" x14ac:dyDescent="0.2">
      <c r="A11" s="14"/>
      <c r="B11" s="49">
        <f t="shared" si="0"/>
        <v>2</v>
      </c>
      <c r="C11" s="51">
        <v>18</v>
      </c>
      <c r="D11" s="66" t="s">
        <v>42</v>
      </c>
      <c r="E11" s="66" t="s">
        <v>111</v>
      </c>
      <c r="F11" s="66" t="s">
        <v>176</v>
      </c>
      <c r="G11" s="66" t="s">
        <v>245</v>
      </c>
      <c r="H11" s="66" t="s">
        <v>275</v>
      </c>
      <c r="I11" s="66" t="s">
        <v>343</v>
      </c>
      <c r="J11" s="66" t="s">
        <v>348</v>
      </c>
      <c r="K11" s="69" t="s">
        <v>415</v>
      </c>
      <c r="L11" s="57">
        <f t="shared" ref="L11" si="1">C11*K11</f>
        <v>1.8</v>
      </c>
    </row>
    <row r="12" spans="1:13" s="3" customFormat="1" x14ac:dyDescent="0.2">
      <c r="A12" s="14"/>
      <c r="B12" s="48">
        <f t="shared" si="0"/>
        <v>3</v>
      </c>
      <c r="C12" s="50">
        <v>1</v>
      </c>
      <c r="D12" s="65" t="s">
        <v>43</v>
      </c>
      <c r="E12" s="65" t="s">
        <v>112</v>
      </c>
      <c r="F12" s="67" t="s">
        <v>177</v>
      </c>
      <c r="G12" s="67" t="s">
        <v>246</v>
      </c>
      <c r="H12" s="67" t="s">
        <v>276</v>
      </c>
      <c r="I12" s="67" t="s">
        <v>343</v>
      </c>
      <c r="J12" s="67" t="s">
        <v>349</v>
      </c>
      <c r="K12" s="68" t="s">
        <v>416</v>
      </c>
      <c r="L12" s="55">
        <f>C12*K12</f>
        <v>0.11</v>
      </c>
    </row>
    <row r="13" spans="1:13" s="3" customFormat="1" x14ac:dyDescent="0.2">
      <c r="A13" s="14"/>
      <c r="B13" s="49">
        <f t="shared" si="0"/>
        <v>4</v>
      </c>
      <c r="C13" s="51">
        <v>5</v>
      </c>
      <c r="D13" s="66" t="s">
        <v>44</v>
      </c>
      <c r="E13" s="66" t="s">
        <v>113</v>
      </c>
      <c r="F13" s="66" t="s">
        <v>178</v>
      </c>
      <c r="G13" s="66" t="s">
        <v>244</v>
      </c>
      <c r="H13" s="66" t="s">
        <v>277</v>
      </c>
      <c r="I13" s="66" t="s">
        <v>343</v>
      </c>
      <c r="J13" s="66" t="s">
        <v>350</v>
      </c>
      <c r="K13" s="69" t="s">
        <v>414</v>
      </c>
      <c r="L13" s="57">
        <f t="shared" ref="L13" si="2">C13*K13</f>
        <v>1.4000000000000001</v>
      </c>
    </row>
    <row r="14" spans="1:13" s="3" customFormat="1" x14ac:dyDescent="0.2">
      <c r="A14" s="14"/>
      <c r="B14" s="48">
        <f t="shared" si="0"/>
        <v>5</v>
      </c>
      <c r="C14" s="50">
        <v>2</v>
      </c>
      <c r="D14" s="65" t="s">
        <v>45</v>
      </c>
      <c r="E14" s="65" t="s">
        <v>114</v>
      </c>
      <c r="F14" s="67" t="s">
        <v>179</v>
      </c>
      <c r="G14" s="67" t="s">
        <v>246</v>
      </c>
      <c r="H14" s="67" t="s">
        <v>278</v>
      </c>
      <c r="I14" s="67" t="s">
        <v>343</v>
      </c>
      <c r="J14" s="67" t="s">
        <v>351</v>
      </c>
      <c r="K14" s="68" t="s">
        <v>416</v>
      </c>
      <c r="L14" s="55">
        <f>C14*K14</f>
        <v>0.22</v>
      </c>
    </row>
    <row r="15" spans="1:13" s="3" customFormat="1" x14ac:dyDescent="0.2">
      <c r="A15" s="14"/>
      <c r="B15" s="49">
        <f t="shared" si="0"/>
        <v>6</v>
      </c>
      <c r="C15" s="51">
        <v>2</v>
      </c>
      <c r="D15" s="66" t="s">
        <v>46</v>
      </c>
      <c r="E15" s="66" t="s">
        <v>115</v>
      </c>
      <c r="F15" s="66" t="s">
        <v>180</v>
      </c>
      <c r="G15" s="66" t="s">
        <v>244</v>
      </c>
      <c r="H15" s="66" t="s">
        <v>279</v>
      </c>
      <c r="I15" s="66" t="s">
        <v>343</v>
      </c>
      <c r="J15" s="66" t="s">
        <v>352</v>
      </c>
      <c r="K15" s="69" t="s">
        <v>417</v>
      </c>
      <c r="L15" s="57">
        <f t="shared" ref="L15" si="3">C15*K15</f>
        <v>0.26</v>
      </c>
    </row>
    <row r="16" spans="1:13" s="3" customFormat="1" x14ac:dyDescent="0.2">
      <c r="A16" s="14"/>
      <c r="B16" s="48">
        <f t="shared" si="0"/>
        <v>7</v>
      </c>
      <c r="C16" s="50">
        <v>2</v>
      </c>
      <c r="D16" s="65" t="s">
        <v>47</v>
      </c>
      <c r="E16" s="65" t="s">
        <v>116</v>
      </c>
      <c r="F16" s="67" t="s">
        <v>181</v>
      </c>
      <c r="G16" s="67" t="s">
        <v>245</v>
      </c>
      <c r="H16" s="67" t="s">
        <v>280</v>
      </c>
      <c r="I16" s="67" t="s">
        <v>343</v>
      </c>
      <c r="J16" s="67" t="s">
        <v>353</v>
      </c>
      <c r="K16" s="68" t="s">
        <v>418</v>
      </c>
      <c r="L16" s="55">
        <f>C16*K16</f>
        <v>0.54</v>
      </c>
    </row>
    <row r="17" spans="1:12" s="3" customFormat="1" x14ac:dyDescent="0.2">
      <c r="A17" s="14"/>
      <c r="B17" s="49">
        <f t="shared" si="0"/>
        <v>8</v>
      </c>
      <c r="C17" s="51">
        <v>2</v>
      </c>
      <c r="D17" s="66" t="s">
        <v>48</v>
      </c>
      <c r="E17" s="66" t="s">
        <v>117</v>
      </c>
      <c r="F17" s="66" t="s">
        <v>182</v>
      </c>
      <c r="G17" s="66" t="s">
        <v>247</v>
      </c>
      <c r="H17" s="66" t="s">
        <v>281</v>
      </c>
      <c r="I17" s="66" t="s">
        <v>343</v>
      </c>
      <c r="J17" s="66" t="s">
        <v>354</v>
      </c>
      <c r="K17" s="69" t="s">
        <v>419</v>
      </c>
      <c r="L17" s="57">
        <f t="shared" ref="L17" si="4">C17*K17</f>
        <v>0.24</v>
      </c>
    </row>
    <row r="18" spans="1:12" s="3" customFormat="1" x14ac:dyDescent="0.2">
      <c r="A18" s="14"/>
      <c r="B18" s="48">
        <f t="shared" si="0"/>
        <v>9</v>
      </c>
      <c r="C18" s="50">
        <v>3</v>
      </c>
      <c r="D18" s="65" t="s">
        <v>49</v>
      </c>
      <c r="E18" s="65" t="s">
        <v>118</v>
      </c>
      <c r="F18" s="67" t="s">
        <v>183</v>
      </c>
      <c r="G18" s="67" t="s">
        <v>248</v>
      </c>
      <c r="H18" s="67" t="s">
        <v>282</v>
      </c>
      <c r="I18" s="67" t="s">
        <v>343</v>
      </c>
      <c r="J18" s="67" t="s">
        <v>355</v>
      </c>
      <c r="K18" s="68" t="s">
        <v>420</v>
      </c>
      <c r="L18" s="55">
        <f>C18*K18</f>
        <v>5.76</v>
      </c>
    </row>
    <row r="19" spans="1:12" s="3" customFormat="1" x14ac:dyDescent="0.2">
      <c r="A19" s="14"/>
      <c r="B19" s="49">
        <f t="shared" si="0"/>
        <v>10</v>
      </c>
      <c r="C19" s="51">
        <v>3</v>
      </c>
      <c r="D19" s="66" t="s">
        <v>50</v>
      </c>
      <c r="E19" s="66" t="s">
        <v>119</v>
      </c>
      <c r="F19" s="66" t="s">
        <v>184</v>
      </c>
      <c r="G19" s="66" t="s">
        <v>244</v>
      </c>
      <c r="H19" s="66" t="s">
        <v>283</v>
      </c>
      <c r="I19" s="66" t="s">
        <v>343</v>
      </c>
      <c r="J19" s="66" t="s">
        <v>356</v>
      </c>
      <c r="K19" s="69" t="s">
        <v>421</v>
      </c>
      <c r="L19" s="57">
        <f t="shared" ref="L19" si="5">C19*K19</f>
        <v>0.57000000000000006</v>
      </c>
    </row>
    <row r="20" spans="1:12" s="3" customFormat="1" x14ac:dyDescent="0.2">
      <c r="A20" s="14"/>
      <c r="B20" s="48">
        <f t="shared" si="0"/>
        <v>11</v>
      </c>
      <c r="C20" s="50">
        <v>1</v>
      </c>
      <c r="D20" s="65" t="s">
        <v>51</v>
      </c>
      <c r="E20" s="65" t="s">
        <v>120</v>
      </c>
      <c r="F20" s="67" t="s">
        <v>185</v>
      </c>
      <c r="G20" s="67" t="s">
        <v>247</v>
      </c>
      <c r="H20" s="67" t="s">
        <v>284</v>
      </c>
      <c r="I20" s="67" t="s">
        <v>343</v>
      </c>
      <c r="J20" s="67" t="s">
        <v>357</v>
      </c>
      <c r="K20" s="68" t="s">
        <v>422</v>
      </c>
      <c r="L20" s="55">
        <f>C20*K20</f>
        <v>0.24</v>
      </c>
    </row>
    <row r="21" spans="1:12" s="3" customFormat="1" x14ac:dyDescent="0.2">
      <c r="A21" s="14"/>
      <c r="B21" s="49">
        <f t="shared" si="0"/>
        <v>12</v>
      </c>
      <c r="C21" s="51">
        <v>1</v>
      </c>
      <c r="D21" s="66" t="s">
        <v>52</v>
      </c>
      <c r="E21" s="66" t="s">
        <v>121</v>
      </c>
      <c r="F21" s="66" t="s">
        <v>186</v>
      </c>
      <c r="G21" s="66" t="s">
        <v>244</v>
      </c>
      <c r="H21" s="66" t="s">
        <v>285</v>
      </c>
      <c r="I21" s="66" t="s">
        <v>343</v>
      </c>
      <c r="J21" s="66" t="s">
        <v>358</v>
      </c>
      <c r="K21" s="69" t="s">
        <v>423</v>
      </c>
      <c r="L21" s="57">
        <f t="shared" ref="L21" si="6">C21*K21</f>
        <v>0.1</v>
      </c>
    </row>
    <row r="22" spans="1:12" s="3" customFormat="1" x14ac:dyDescent="0.2">
      <c r="A22" s="14"/>
      <c r="B22" s="48">
        <f t="shared" si="0"/>
        <v>13</v>
      </c>
      <c r="C22" s="50">
        <v>1</v>
      </c>
      <c r="D22" s="65" t="s">
        <v>53</v>
      </c>
      <c r="E22" s="65" t="s">
        <v>122</v>
      </c>
      <c r="F22" s="67" t="s">
        <v>187</v>
      </c>
      <c r="G22" s="67" t="s">
        <v>247</v>
      </c>
      <c r="H22" s="67" t="s">
        <v>286</v>
      </c>
      <c r="I22" s="67" t="s">
        <v>343</v>
      </c>
      <c r="J22" s="67" t="s">
        <v>359</v>
      </c>
      <c r="K22" s="68" t="s">
        <v>416</v>
      </c>
      <c r="L22" s="55">
        <f>C22*K22</f>
        <v>0.11</v>
      </c>
    </row>
    <row r="23" spans="1:12" s="3" customFormat="1" x14ac:dyDescent="0.2">
      <c r="A23" s="14"/>
      <c r="B23" s="49">
        <f t="shared" si="0"/>
        <v>14</v>
      </c>
      <c r="C23" s="51">
        <v>1</v>
      </c>
      <c r="D23" s="66" t="s">
        <v>54</v>
      </c>
      <c r="E23" s="66" t="s">
        <v>123</v>
      </c>
      <c r="F23" s="66" t="s">
        <v>188</v>
      </c>
      <c r="G23" s="66" t="s">
        <v>244</v>
      </c>
      <c r="H23" s="66" t="s">
        <v>287</v>
      </c>
      <c r="I23" s="66" t="s">
        <v>343</v>
      </c>
      <c r="J23" s="66" t="s">
        <v>360</v>
      </c>
      <c r="K23" s="69" t="s">
        <v>424</v>
      </c>
      <c r="L23" s="57">
        <f t="shared" ref="L23" si="7">C23*K23</f>
        <v>0.38</v>
      </c>
    </row>
    <row r="24" spans="1:12" s="3" customFormat="1" x14ac:dyDescent="0.2">
      <c r="A24" s="14"/>
      <c r="B24" s="48">
        <f t="shared" si="0"/>
        <v>15</v>
      </c>
      <c r="C24" s="50">
        <v>8</v>
      </c>
      <c r="D24" s="65" t="s">
        <v>55</v>
      </c>
      <c r="E24" s="65" t="s">
        <v>124</v>
      </c>
      <c r="F24" s="67" t="s">
        <v>189</v>
      </c>
      <c r="G24" s="67" t="s">
        <v>249</v>
      </c>
      <c r="H24" s="67" t="s">
        <v>288</v>
      </c>
      <c r="I24" s="67" t="s">
        <v>343</v>
      </c>
      <c r="J24" s="67" t="s">
        <v>361</v>
      </c>
      <c r="K24" s="68" t="s">
        <v>425</v>
      </c>
      <c r="L24" s="55">
        <f>C24*K24</f>
        <v>1.28</v>
      </c>
    </row>
    <row r="25" spans="1:12" s="3" customFormat="1" x14ac:dyDescent="0.2">
      <c r="A25" s="14"/>
      <c r="B25" s="49">
        <f t="shared" si="0"/>
        <v>16</v>
      </c>
      <c r="C25" s="51">
        <v>4</v>
      </c>
      <c r="D25" s="66" t="s">
        <v>56</v>
      </c>
      <c r="E25" s="66" t="s">
        <v>125</v>
      </c>
      <c r="F25" s="66" t="s">
        <v>190</v>
      </c>
      <c r="G25" s="66" t="s">
        <v>250</v>
      </c>
      <c r="H25" s="66" t="s">
        <v>289</v>
      </c>
      <c r="I25" s="66" t="s">
        <v>344</v>
      </c>
      <c r="J25" s="66" t="s">
        <v>362</v>
      </c>
      <c r="K25" s="69" t="s">
        <v>426</v>
      </c>
      <c r="L25" s="57">
        <f t="shared" ref="L25" si="8">C25*K25</f>
        <v>3.72</v>
      </c>
    </row>
    <row r="26" spans="1:12" s="3" customFormat="1" ht="22.5" x14ac:dyDescent="0.2">
      <c r="A26" s="14"/>
      <c r="B26" s="48">
        <f t="shared" si="0"/>
        <v>17</v>
      </c>
      <c r="C26" s="50">
        <v>1</v>
      </c>
      <c r="D26" s="65" t="s">
        <v>57</v>
      </c>
      <c r="E26" s="65" t="s">
        <v>126</v>
      </c>
      <c r="F26" s="67" t="s">
        <v>191</v>
      </c>
      <c r="G26" s="67" t="s">
        <v>251</v>
      </c>
      <c r="H26" s="67" t="s">
        <v>290</v>
      </c>
      <c r="I26" s="67" t="s">
        <v>343</v>
      </c>
      <c r="J26" s="67" t="s">
        <v>363</v>
      </c>
      <c r="K26" s="68" t="s">
        <v>427</v>
      </c>
      <c r="L26" s="55">
        <f>C26*K26</f>
        <v>2.2999999999999998</v>
      </c>
    </row>
    <row r="27" spans="1:12" s="3" customFormat="1" x14ac:dyDescent="0.2">
      <c r="A27" s="14"/>
      <c r="B27" s="49">
        <f t="shared" si="0"/>
        <v>18</v>
      </c>
      <c r="C27" s="51">
        <v>1</v>
      </c>
      <c r="D27" s="66" t="s">
        <v>58</v>
      </c>
      <c r="E27" s="66" t="s">
        <v>127</v>
      </c>
      <c r="F27" s="66" t="s">
        <v>192</v>
      </c>
      <c r="G27" s="66" t="s">
        <v>252</v>
      </c>
      <c r="H27" s="66" t="s">
        <v>291</v>
      </c>
      <c r="I27" s="66" t="s">
        <v>344</v>
      </c>
      <c r="J27" s="66" t="s">
        <v>364</v>
      </c>
      <c r="K27" s="69" t="s">
        <v>428</v>
      </c>
      <c r="L27" s="57">
        <f t="shared" ref="L27" si="9">C27*K27</f>
        <v>7.0000000000000007E-2</v>
      </c>
    </row>
    <row r="28" spans="1:12" s="3" customFormat="1" x14ac:dyDescent="0.2">
      <c r="A28" s="14"/>
      <c r="B28" s="48">
        <f t="shared" si="0"/>
        <v>19</v>
      </c>
      <c r="C28" s="50">
        <v>1</v>
      </c>
      <c r="D28" s="65" t="s">
        <v>59</v>
      </c>
      <c r="E28" s="65" t="s">
        <v>128</v>
      </c>
      <c r="F28" s="67" t="s">
        <v>193</v>
      </c>
      <c r="G28" s="67" t="s">
        <v>253</v>
      </c>
      <c r="H28" s="67" t="s">
        <v>292</v>
      </c>
      <c r="I28" s="67" t="s">
        <v>343</v>
      </c>
      <c r="J28" s="67" t="s">
        <v>365</v>
      </c>
      <c r="K28" s="68" t="s">
        <v>429</v>
      </c>
      <c r="L28" s="55">
        <f>C28*K28</f>
        <v>1.4</v>
      </c>
    </row>
    <row r="29" spans="1:12" s="3" customFormat="1" ht="56.25" x14ac:dyDescent="0.2">
      <c r="A29" s="14"/>
      <c r="B29" s="49">
        <f t="shared" si="0"/>
        <v>20</v>
      </c>
      <c r="C29" s="51">
        <v>4</v>
      </c>
      <c r="D29" s="66" t="s">
        <v>60</v>
      </c>
      <c r="E29" s="66" t="s">
        <v>129</v>
      </c>
      <c r="F29" s="66" t="s">
        <v>194</v>
      </c>
      <c r="G29" s="66" t="s">
        <v>252</v>
      </c>
      <c r="H29" s="66" t="s">
        <v>293</v>
      </c>
      <c r="I29" s="66" t="s">
        <v>344</v>
      </c>
      <c r="J29" s="66" t="s">
        <v>366</v>
      </c>
      <c r="K29" s="69" t="s">
        <v>428</v>
      </c>
      <c r="L29" s="57">
        <f t="shared" ref="L29" si="10">C29*K29</f>
        <v>0.28000000000000003</v>
      </c>
    </row>
    <row r="30" spans="1:12" s="3" customFormat="1" x14ac:dyDescent="0.2">
      <c r="A30" s="14"/>
      <c r="B30" s="48">
        <f t="shared" si="0"/>
        <v>21</v>
      </c>
      <c r="C30" s="50">
        <v>1</v>
      </c>
      <c r="D30" s="65" t="s">
        <v>61</v>
      </c>
      <c r="E30" s="65" t="s">
        <v>129</v>
      </c>
      <c r="F30" s="67" t="s">
        <v>195</v>
      </c>
      <c r="G30" s="67" t="s">
        <v>254</v>
      </c>
      <c r="H30" s="67" t="s">
        <v>294</v>
      </c>
      <c r="I30" s="67" t="s">
        <v>344</v>
      </c>
      <c r="J30" s="67" t="s">
        <v>367</v>
      </c>
      <c r="K30" s="68" t="s">
        <v>430</v>
      </c>
      <c r="L30" s="55">
        <f>C30*K30</f>
        <v>1.1000000000000001</v>
      </c>
    </row>
    <row r="31" spans="1:12" s="3" customFormat="1" x14ac:dyDescent="0.2">
      <c r="A31" s="14"/>
      <c r="B31" s="49">
        <f t="shared" si="0"/>
        <v>22</v>
      </c>
      <c r="C31" s="51">
        <v>1</v>
      </c>
      <c r="D31" s="66" t="s">
        <v>62</v>
      </c>
      <c r="E31" s="66" t="s">
        <v>130</v>
      </c>
      <c r="F31" s="66" t="s">
        <v>196</v>
      </c>
      <c r="G31" s="66" t="s">
        <v>255</v>
      </c>
      <c r="H31" s="66" t="s">
        <v>295</v>
      </c>
      <c r="I31" s="66" t="s">
        <v>343</v>
      </c>
      <c r="J31" s="66" t="s">
        <v>368</v>
      </c>
      <c r="K31" s="69" t="s">
        <v>431</v>
      </c>
      <c r="L31" s="57">
        <f t="shared" ref="L31" si="11">C31*K31</f>
        <v>1.8</v>
      </c>
    </row>
    <row r="32" spans="1:12" s="3" customFormat="1" x14ac:dyDescent="0.2">
      <c r="A32" s="14"/>
      <c r="B32" s="48">
        <f t="shared" si="0"/>
        <v>23</v>
      </c>
      <c r="C32" s="50">
        <v>1</v>
      </c>
      <c r="D32" s="65" t="s">
        <v>63</v>
      </c>
      <c r="E32" s="65" t="s">
        <v>131</v>
      </c>
      <c r="F32" s="67" t="s">
        <v>197</v>
      </c>
      <c r="G32" s="67" t="s">
        <v>256</v>
      </c>
      <c r="H32" s="67" t="s">
        <v>296</v>
      </c>
      <c r="I32" s="67" t="s">
        <v>343</v>
      </c>
      <c r="J32" s="67" t="s">
        <v>369</v>
      </c>
      <c r="K32" s="68" t="s">
        <v>432</v>
      </c>
      <c r="L32" s="55">
        <f>C32*K32</f>
        <v>0.26</v>
      </c>
    </row>
    <row r="33" spans="1:12" s="3" customFormat="1" x14ac:dyDescent="0.2">
      <c r="A33" s="14"/>
      <c r="B33" s="49">
        <f t="shared" si="0"/>
        <v>24</v>
      </c>
      <c r="C33" s="51">
        <v>5</v>
      </c>
      <c r="D33" s="66" t="s">
        <v>64</v>
      </c>
      <c r="E33" s="66" t="s">
        <v>132</v>
      </c>
      <c r="F33" s="66" t="s">
        <v>198</v>
      </c>
      <c r="G33" s="66" t="s">
        <v>257</v>
      </c>
      <c r="H33" s="66" t="s">
        <v>297</v>
      </c>
      <c r="I33" s="66" t="s">
        <v>343</v>
      </c>
      <c r="J33" s="66" t="s">
        <v>370</v>
      </c>
      <c r="K33" s="69" t="s">
        <v>423</v>
      </c>
      <c r="L33" s="57">
        <f t="shared" ref="L33" si="12">C33*K33</f>
        <v>0.5</v>
      </c>
    </row>
    <row r="34" spans="1:12" s="3" customFormat="1" x14ac:dyDescent="0.2">
      <c r="A34" s="14"/>
      <c r="B34" s="48">
        <f t="shared" si="0"/>
        <v>25</v>
      </c>
      <c r="C34" s="50">
        <v>2</v>
      </c>
      <c r="D34" s="65" t="s">
        <v>65</v>
      </c>
      <c r="E34" s="65" t="s">
        <v>133</v>
      </c>
      <c r="F34" s="67" t="s">
        <v>199</v>
      </c>
      <c r="G34" s="67" t="s">
        <v>257</v>
      </c>
      <c r="H34" s="67" t="s">
        <v>298</v>
      </c>
      <c r="I34" s="67" t="s">
        <v>343</v>
      </c>
      <c r="J34" s="67" t="s">
        <v>371</v>
      </c>
      <c r="K34" s="68" t="s">
        <v>433</v>
      </c>
      <c r="L34" s="55">
        <f>C34*K34</f>
        <v>0.3</v>
      </c>
    </row>
    <row r="35" spans="1:12" s="3" customFormat="1" x14ac:dyDescent="0.2">
      <c r="A35" s="14"/>
      <c r="B35" s="49">
        <f t="shared" si="0"/>
        <v>26</v>
      </c>
      <c r="C35" s="51">
        <v>1</v>
      </c>
      <c r="D35" s="66" t="s">
        <v>66</v>
      </c>
      <c r="E35" s="66" t="s">
        <v>134</v>
      </c>
      <c r="F35" s="66" t="s">
        <v>200</v>
      </c>
      <c r="G35" s="66" t="s">
        <v>257</v>
      </c>
      <c r="H35" s="66" t="s">
        <v>299</v>
      </c>
      <c r="I35" s="66" t="s">
        <v>343</v>
      </c>
      <c r="J35" s="66" t="s">
        <v>372</v>
      </c>
      <c r="K35" s="69" t="s">
        <v>434</v>
      </c>
      <c r="L35" s="57">
        <f t="shared" ref="L35" si="13">C35*K35</f>
        <v>0.18</v>
      </c>
    </row>
    <row r="36" spans="1:12" s="3" customFormat="1" ht="22.5" x14ac:dyDescent="0.2">
      <c r="A36" s="14"/>
      <c r="B36" s="48">
        <f t="shared" si="0"/>
        <v>27</v>
      </c>
      <c r="C36" s="50">
        <v>4</v>
      </c>
      <c r="D36" s="65" t="s">
        <v>67</v>
      </c>
      <c r="E36" s="65" t="s">
        <v>135</v>
      </c>
      <c r="F36" s="67" t="s">
        <v>201</v>
      </c>
      <c r="G36" s="67" t="s">
        <v>258</v>
      </c>
      <c r="H36" s="67" t="s">
        <v>300</v>
      </c>
      <c r="I36" s="67" t="s">
        <v>343</v>
      </c>
      <c r="J36" s="67" t="s">
        <v>373</v>
      </c>
      <c r="K36" s="68" t="s">
        <v>435</v>
      </c>
      <c r="L36" s="55">
        <f>C36*K36</f>
        <v>2.3199999999999998</v>
      </c>
    </row>
    <row r="37" spans="1:12" s="3" customFormat="1" x14ac:dyDescent="0.2">
      <c r="A37" s="14"/>
      <c r="B37" s="49">
        <f t="shared" si="0"/>
        <v>28</v>
      </c>
      <c r="C37" s="51">
        <v>4</v>
      </c>
      <c r="D37" s="66" t="s">
        <v>68</v>
      </c>
      <c r="E37" s="66" t="s">
        <v>136</v>
      </c>
      <c r="F37" s="66" t="s">
        <v>202</v>
      </c>
      <c r="G37" s="66" t="s">
        <v>254</v>
      </c>
      <c r="H37" s="66" t="s">
        <v>301</v>
      </c>
      <c r="I37" s="66" t="s">
        <v>343</v>
      </c>
      <c r="J37" s="66" t="s">
        <v>374</v>
      </c>
      <c r="K37" s="69" t="s">
        <v>436</v>
      </c>
      <c r="L37" s="57">
        <f t="shared" ref="L37" si="14">C37*K37</f>
        <v>5.44</v>
      </c>
    </row>
    <row r="38" spans="1:12" s="3" customFormat="1" ht="22.5" x14ac:dyDescent="0.2">
      <c r="A38" s="14"/>
      <c r="B38" s="48">
        <f t="shared" si="0"/>
        <v>29</v>
      </c>
      <c r="C38" s="50">
        <v>1</v>
      </c>
      <c r="D38" s="65" t="s">
        <v>69</v>
      </c>
      <c r="E38" s="65" t="s">
        <v>137</v>
      </c>
      <c r="F38" s="67" t="s">
        <v>203</v>
      </c>
      <c r="G38" s="67" t="s">
        <v>259</v>
      </c>
      <c r="H38" s="67" t="s">
        <v>302</v>
      </c>
      <c r="I38" s="67" t="s">
        <v>259</v>
      </c>
      <c r="J38" s="67" t="s">
        <v>302</v>
      </c>
      <c r="K38" s="68" t="s">
        <v>437</v>
      </c>
      <c r="L38" s="55">
        <f>C38*K38</f>
        <v>2.5</v>
      </c>
    </row>
    <row r="39" spans="1:12" s="3" customFormat="1" x14ac:dyDescent="0.2">
      <c r="A39" s="14"/>
      <c r="B39" s="49">
        <f t="shared" si="0"/>
        <v>30</v>
      </c>
      <c r="C39" s="51">
        <v>1</v>
      </c>
      <c r="D39" s="66" t="s">
        <v>70</v>
      </c>
      <c r="E39" s="66" t="s">
        <v>138</v>
      </c>
      <c r="F39" s="66" t="s">
        <v>204</v>
      </c>
      <c r="G39" s="66" t="s">
        <v>260</v>
      </c>
      <c r="H39" s="66" t="s">
        <v>303</v>
      </c>
      <c r="I39" s="66" t="s">
        <v>343</v>
      </c>
      <c r="J39" s="66" t="s">
        <v>375</v>
      </c>
      <c r="K39" s="69" t="s">
        <v>438</v>
      </c>
      <c r="L39" s="57">
        <f t="shared" ref="L39" si="15">C39*K39</f>
        <v>299</v>
      </c>
    </row>
    <row r="40" spans="1:12" s="3" customFormat="1" x14ac:dyDescent="0.2">
      <c r="A40" s="14"/>
      <c r="B40" s="48">
        <f t="shared" si="0"/>
        <v>31</v>
      </c>
      <c r="C40" s="50">
        <v>2</v>
      </c>
      <c r="D40" s="65" t="s">
        <v>71</v>
      </c>
      <c r="E40" s="65" t="s">
        <v>139</v>
      </c>
      <c r="F40" s="67" t="s">
        <v>205</v>
      </c>
      <c r="G40" s="67" t="s">
        <v>249</v>
      </c>
      <c r="H40" s="67" t="s">
        <v>304</v>
      </c>
      <c r="I40" s="67" t="s">
        <v>343</v>
      </c>
      <c r="J40" s="67" t="s">
        <v>376</v>
      </c>
      <c r="K40" s="68" t="s">
        <v>439</v>
      </c>
      <c r="L40" s="55">
        <f>C40*K40</f>
        <v>0.4</v>
      </c>
    </row>
    <row r="41" spans="1:12" s="3" customFormat="1" x14ac:dyDescent="0.2">
      <c r="A41" s="14"/>
      <c r="B41" s="49">
        <f t="shared" si="0"/>
        <v>32</v>
      </c>
      <c r="C41" s="51">
        <v>2</v>
      </c>
      <c r="D41" s="66" t="s">
        <v>72</v>
      </c>
      <c r="E41" s="66" t="s">
        <v>140</v>
      </c>
      <c r="F41" s="66" t="s">
        <v>206</v>
      </c>
      <c r="G41" s="66" t="s">
        <v>261</v>
      </c>
      <c r="H41" s="66" t="s">
        <v>305</v>
      </c>
      <c r="I41" s="66" t="s">
        <v>343</v>
      </c>
      <c r="J41" s="66" t="s">
        <v>377</v>
      </c>
      <c r="K41" s="69" t="s">
        <v>440</v>
      </c>
      <c r="L41" s="57">
        <f t="shared" ref="L41" si="16">C41*K41</f>
        <v>0.9</v>
      </c>
    </row>
    <row r="42" spans="1:12" s="3" customFormat="1" x14ac:dyDescent="0.2">
      <c r="A42" s="14"/>
      <c r="B42" s="48">
        <f t="shared" ref="B42:B77" si="17">ROW(B42) - ROW($B$9)</f>
        <v>33</v>
      </c>
      <c r="C42" s="50">
        <v>8</v>
      </c>
      <c r="D42" s="65" t="s">
        <v>73</v>
      </c>
      <c r="E42" s="65" t="s">
        <v>141</v>
      </c>
      <c r="F42" s="67" t="s">
        <v>207</v>
      </c>
      <c r="G42" s="67" t="s">
        <v>246</v>
      </c>
      <c r="H42" s="67" t="s">
        <v>306</v>
      </c>
      <c r="I42" s="67" t="s">
        <v>343</v>
      </c>
      <c r="J42" s="67" t="s">
        <v>378</v>
      </c>
      <c r="K42" s="68" t="s">
        <v>415</v>
      </c>
      <c r="L42" s="55">
        <f>C42*K42</f>
        <v>0.8</v>
      </c>
    </row>
    <row r="43" spans="1:12" s="3" customFormat="1" ht="45" x14ac:dyDescent="0.2">
      <c r="A43" s="14"/>
      <c r="B43" s="49">
        <f t="shared" si="17"/>
        <v>34</v>
      </c>
      <c r="C43" s="51">
        <v>26</v>
      </c>
      <c r="D43" s="66" t="s">
        <v>74</v>
      </c>
      <c r="E43" s="66" t="s">
        <v>142</v>
      </c>
      <c r="F43" s="66" t="s">
        <v>208</v>
      </c>
      <c r="G43" s="66" t="s">
        <v>246</v>
      </c>
      <c r="H43" s="66" t="s">
        <v>307</v>
      </c>
      <c r="I43" s="66" t="s">
        <v>343</v>
      </c>
      <c r="J43" s="66" t="s">
        <v>379</v>
      </c>
      <c r="K43" s="69" t="s">
        <v>423</v>
      </c>
      <c r="L43" s="57">
        <f t="shared" ref="L43" si="18">C43*K43</f>
        <v>2.6</v>
      </c>
    </row>
    <row r="44" spans="1:12" s="3" customFormat="1" x14ac:dyDescent="0.2">
      <c r="A44" s="14"/>
      <c r="B44" s="48">
        <f t="shared" si="17"/>
        <v>35</v>
      </c>
      <c r="C44" s="50">
        <v>1</v>
      </c>
      <c r="D44" s="65" t="s">
        <v>75</v>
      </c>
      <c r="E44" s="65" t="s">
        <v>143</v>
      </c>
      <c r="F44" s="67" t="s">
        <v>209</v>
      </c>
      <c r="G44" s="67" t="s">
        <v>246</v>
      </c>
      <c r="H44" s="67" t="s">
        <v>308</v>
      </c>
      <c r="I44" s="67" t="s">
        <v>343</v>
      </c>
      <c r="J44" s="67" t="s">
        <v>380</v>
      </c>
      <c r="K44" s="68" t="s">
        <v>415</v>
      </c>
      <c r="L44" s="55">
        <f>C44*K44</f>
        <v>0.1</v>
      </c>
    </row>
    <row r="45" spans="1:12" s="3" customFormat="1" x14ac:dyDescent="0.2">
      <c r="A45" s="14"/>
      <c r="B45" s="49">
        <f t="shared" si="17"/>
        <v>36</v>
      </c>
      <c r="C45" s="51">
        <v>1</v>
      </c>
      <c r="D45" s="66" t="s">
        <v>76</v>
      </c>
      <c r="E45" s="66" t="s">
        <v>144</v>
      </c>
      <c r="F45" s="66" t="s">
        <v>210</v>
      </c>
      <c r="G45" s="66" t="s">
        <v>246</v>
      </c>
      <c r="H45" s="66" t="s">
        <v>309</v>
      </c>
      <c r="I45" s="66" t="s">
        <v>343</v>
      </c>
      <c r="J45" s="66" t="s">
        <v>381</v>
      </c>
      <c r="K45" s="69" t="s">
        <v>415</v>
      </c>
      <c r="L45" s="57">
        <f t="shared" ref="L45" si="19">C45*K45</f>
        <v>0.1</v>
      </c>
    </row>
    <row r="46" spans="1:12" s="3" customFormat="1" x14ac:dyDescent="0.2">
      <c r="A46" s="14"/>
      <c r="B46" s="48">
        <f t="shared" si="17"/>
        <v>37</v>
      </c>
      <c r="C46" s="50">
        <v>4</v>
      </c>
      <c r="D46" s="65" t="s">
        <v>77</v>
      </c>
      <c r="E46" s="65" t="s">
        <v>145</v>
      </c>
      <c r="F46" s="67" t="s">
        <v>211</v>
      </c>
      <c r="G46" s="67" t="s">
        <v>246</v>
      </c>
      <c r="H46" s="67" t="s">
        <v>310</v>
      </c>
      <c r="I46" s="67" t="s">
        <v>343</v>
      </c>
      <c r="J46" s="67" t="s">
        <v>382</v>
      </c>
      <c r="K46" s="68" t="s">
        <v>415</v>
      </c>
      <c r="L46" s="55">
        <f>C46*K46</f>
        <v>0.4</v>
      </c>
    </row>
    <row r="47" spans="1:12" s="3" customFormat="1" x14ac:dyDescent="0.2">
      <c r="A47" s="14"/>
      <c r="B47" s="49">
        <f t="shared" si="17"/>
        <v>38</v>
      </c>
      <c r="C47" s="51">
        <v>2</v>
      </c>
      <c r="D47" s="66" t="s">
        <v>78</v>
      </c>
      <c r="E47" s="66" t="s">
        <v>146</v>
      </c>
      <c r="F47" s="66" t="s">
        <v>212</v>
      </c>
      <c r="G47" s="66" t="s">
        <v>246</v>
      </c>
      <c r="H47" s="66" t="s">
        <v>311</v>
      </c>
      <c r="I47" s="66" t="s">
        <v>343</v>
      </c>
      <c r="J47" s="66" t="s">
        <v>383</v>
      </c>
      <c r="K47" s="69" t="s">
        <v>425</v>
      </c>
      <c r="L47" s="57">
        <f t="shared" ref="L47" si="20">C47*K47</f>
        <v>0.32</v>
      </c>
    </row>
    <row r="48" spans="1:12" s="3" customFormat="1" x14ac:dyDescent="0.2">
      <c r="A48" s="14"/>
      <c r="B48" s="48">
        <f t="shared" si="17"/>
        <v>39</v>
      </c>
      <c r="C48" s="50">
        <v>2</v>
      </c>
      <c r="D48" s="65" t="s">
        <v>79</v>
      </c>
      <c r="E48" s="65" t="s">
        <v>147</v>
      </c>
      <c r="F48" s="67" t="s">
        <v>213</v>
      </c>
      <c r="G48" s="67" t="s">
        <v>246</v>
      </c>
      <c r="H48" s="67" t="s">
        <v>312</v>
      </c>
      <c r="I48" s="67" t="s">
        <v>343</v>
      </c>
      <c r="J48" s="67" t="s">
        <v>384</v>
      </c>
      <c r="K48" s="68" t="s">
        <v>423</v>
      </c>
      <c r="L48" s="55">
        <f>C48*K48</f>
        <v>0.2</v>
      </c>
    </row>
    <row r="49" spans="1:12" s="3" customFormat="1" x14ac:dyDescent="0.2">
      <c r="A49" s="14"/>
      <c r="B49" s="49">
        <f t="shared" si="17"/>
        <v>40</v>
      </c>
      <c r="C49" s="51">
        <v>1</v>
      </c>
      <c r="D49" s="66" t="s">
        <v>80</v>
      </c>
      <c r="E49" s="66" t="s">
        <v>148</v>
      </c>
      <c r="F49" s="66" t="s">
        <v>214</v>
      </c>
      <c r="G49" s="66" t="s">
        <v>262</v>
      </c>
      <c r="H49" s="66" t="s">
        <v>313</v>
      </c>
      <c r="I49" s="66" t="s">
        <v>343</v>
      </c>
      <c r="J49" s="66" t="s">
        <v>385</v>
      </c>
      <c r="K49" s="69" t="s">
        <v>441</v>
      </c>
      <c r="L49" s="57">
        <f t="shared" ref="L49" si="21">C49*K49</f>
        <v>2.56</v>
      </c>
    </row>
    <row r="50" spans="1:12" s="3" customFormat="1" x14ac:dyDescent="0.2">
      <c r="A50" s="14"/>
      <c r="B50" s="48">
        <f t="shared" si="17"/>
        <v>41</v>
      </c>
      <c r="C50" s="50">
        <v>1</v>
      </c>
      <c r="D50" s="65" t="s">
        <v>81</v>
      </c>
      <c r="E50" s="65" t="s">
        <v>149</v>
      </c>
      <c r="F50" s="67" t="s">
        <v>215</v>
      </c>
      <c r="G50" s="67" t="s">
        <v>246</v>
      </c>
      <c r="H50" s="67" t="s">
        <v>314</v>
      </c>
      <c r="I50" s="67" t="s">
        <v>343</v>
      </c>
      <c r="J50" s="67" t="s">
        <v>386</v>
      </c>
      <c r="K50" s="68" t="s">
        <v>423</v>
      </c>
      <c r="L50" s="55">
        <f>C50*K50</f>
        <v>0.1</v>
      </c>
    </row>
    <row r="51" spans="1:12" s="3" customFormat="1" x14ac:dyDescent="0.2">
      <c r="A51" s="14"/>
      <c r="B51" s="49">
        <f t="shared" si="17"/>
        <v>42</v>
      </c>
      <c r="C51" s="51">
        <v>2</v>
      </c>
      <c r="D51" s="66" t="s">
        <v>82</v>
      </c>
      <c r="E51" s="66" t="s">
        <v>150</v>
      </c>
      <c r="F51" s="66" t="s">
        <v>216</v>
      </c>
      <c r="G51" s="66" t="s">
        <v>246</v>
      </c>
      <c r="H51" s="66" t="s">
        <v>315</v>
      </c>
      <c r="I51" s="66" t="s">
        <v>343</v>
      </c>
      <c r="J51" s="66" t="s">
        <v>387</v>
      </c>
      <c r="K51" s="69" t="s">
        <v>415</v>
      </c>
      <c r="L51" s="57">
        <f t="shared" ref="L51" si="22">C51*K51</f>
        <v>0.2</v>
      </c>
    </row>
    <row r="52" spans="1:12" s="3" customFormat="1" x14ac:dyDescent="0.2">
      <c r="A52" s="14"/>
      <c r="B52" s="48">
        <f t="shared" si="17"/>
        <v>43</v>
      </c>
      <c r="C52" s="50">
        <v>6</v>
      </c>
      <c r="D52" s="65" t="s">
        <v>83</v>
      </c>
      <c r="E52" s="65" t="s">
        <v>151</v>
      </c>
      <c r="F52" s="67" t="s">
        <v>217</v>
      </c>
      <c r="G52" s="67" t="s">
        <v>246</v>
      </c>
      <c r="H52" s="67" t="s">
        <v>316</v>
      </c>
      <c r="I52" s="67" t="s">
        <v>343</v>
      </c>
      <c r="J52" s="67" t="s">
        <v>388</v>
      </c>
      <c r="K52" s="68" t="s">
        <v>415</v>
      </c>
      <c r="L52" s="55">
        <f>C52*K52</f>
        <v>0.60000000000000009</v>
      </c>
    </row>
    <row r="53" spans="1:12" s="3" customFormat="1" x14ac:dyDescent="0.2">
      <c r="A53" s="14"/>
      <c r="B53" s="49">
        <f t="shared" si="17"/>
        <v>44</v>
      </c>
      <c r="C53" s="51">
        <v>1</v>
      </c>
      <c r="D53" s="66" t="s">
        <v>84</v>
      </c>
      <c r="E53" s="66" t="s">
        <v>152</v>
      </c>
      <c r="F53" s="66" t="s">
        <v>218</v>
      </c>
      <c r="G53" s="66" t="s">
        <v>262</v>
      </c>
      <c r="H53" s="66" t="s">
        <v>317</v>
      </c>
      <c r="I53" s="66" t="s">
        <v>343</v>
      </c>
      <c r="J53" s="66" t="s">
        <v>389</v>
      </c>
      <c r="K53" s="69" t="s">
        <v>442</v>
      </c>
      <c r="L53" s="57">
        <f t="shared" ref="L53" si="23">C53*K53</f>
        <v>2.2000000000000002</v>
      </c>
    </row>
    <row r="54" spans="1:12" s="3" customFormat="1" x14ac:dyDescent="0.2">
      <c r="A54" s="14"/>
      <c r="B54" s="48">
        <f t="shared" si="17"/>
        <v>45</v>
      </c>
      <c r="C54" s="50">
        <v>1</v>
      </c>
      <c r="D54" s="65" t="s">
        <v>85</v>
      </c>
      <c r="E54" s="65" t="s">
        <v>153</v>
      </c>
      <c r="F54" s="67" t="s">
        <v>219</v>
      </c>
      <c r="G54" s="67" t="s">
        <v>246</v>
      </c>
      <c r="H54" s="67" t="s">
        <v>318</v>
      </c>
      <c r="I54" s="67" t="s">
        <v>343</v>
      </c>
      <c r="J54" s="67" t="s">
        <v>390</v>
      </c>
      <c r="K54" s="68" t="s">
        <v>415</v>
      </c>
      <c r="L54" s="55">
        <f>C54*K54</f>
        <v>0.1</v>
      </c>
    </row>
    <row r="55" spans="1:12" s="3" customFormat="1" x14ac:dyDescent="0.2">
      <c r="A55" s="14"/>
      <c r="B55" s="49">
        <f t="shared" si="17"/>
        <v>46</v>
      </c>
      <c r="C55" s="51">
        <v>1</v>
      </c>
      <c r="D55" s="66" t="s">
        <v>86</v>
      </c>
      <c r="E55" s="66" t="s">
        <v>154</v>
      </c>
      <c r="F55" s="66" t="s">
        <v>220</v>
      </c>
      <c r="G55" s="66" t="s">
        <v>246</v>
      </c>
      <c r="H55" s="66" t="s">
        <v>319</v>
      </c>
      <c r="I55" s="66" t="s">
        <v>343</v>
      </c>
      <c r="J55" s="66" t="s">
        <v>391</v>
      </c>
      <c r="K55" s="69" t="s">
        <v>423</v>
      </c>
      <c r="L55" s="57">
        <f t="shared" ref="L55" si="24">C55*K55</f>
        <v>0.1</v>
      </c>
    </row>
    <row r="56" spans="1:12" s="3" customFormat="1" x14ac:dyDescent="0.2">
      <c r="A56" s="14"/>
      <c r="B56" s="48">
        <f t="shared" si="17"/>
        <v>47</v>
      </c>
      <c r="C56" s="50">
        <v>2</v>
      </c>
      <c r="D56" s="65" t="s">
        <v>87</v>
      </c>
      <c r="E56" s="65" t="s">
        <v>155</v>
      </c>
      <c r="F56" s="67" t="s">
        <v>221</v>
      </c>
      <c r="G56" s="67" t="s">
        <v>246</v>
      </c>
      <c r="H56" s="67" t="s">
        <v>320</v>
      </c>
      <c r="I56" s="67" t="s">
        <v>343</v>
      </c>
      <c r="J56" s="67" t="s">
        <v>392</v>
      </c>
      <c r="K56" s="68" t="s">
        <v>423</v>
      </c>
      <c r="L56" s="55">
        <f>C56*K56</f>
        <v>0.2</v>
      </c>
    </row>
    <row r="57" spans="1:12" s="3" customFormat="1" x14ac:dyDescent="0.2">
      <c r="A57" s="14"/>
      <c r="B57" s="49">
        <f t="shared" si="17"/>
        <v>48</v>
      </c>
      <c r="C57" s="51">
        <v>7</v>
      </c>
      <c r="D57" s="66" t="s">
        <v>88</v>
      </c>
      <c r="E57" s="66" t="s">
        <v>156</v>
      </c>
      <c r="F57" s="66" t="s">
        <v>222</v>
      </c>
      <c r="G57" s="66" t="s">
        <v>246</v>
      </c>
      <c r="H57" s="66" t="s">
        <v>321</v>
      </c>
      <c r="I57" s="66" t="s">
        <v>343</v>
      </c>
      <c r="J57" s="66" t="s">
        <v>393</v>
      </c>
      <c r="K57" s="69" t="s">
        <v>417</v>
      </c>
      <c r="L57" s="57">
        <f t="shared" ref="L57" si="25">C57*K57</f>
        <v>0.91</v>
      </c>
    </row>
    <row r="58" spans="1:12" s="3" customFormat="1" x14ac:dyDescent="0.2">
      <c r="A58" s="14"/>
      <c r="B58" s="48">
        <f t="shared" si="17"/>
        <v>49</v>
      </c>
      <c r="C58" s="50">
        <v>1</v>
      </c>
      <c r="D58" s="65" t="s">
        <v>89</v>
      </c>
      <c r="E58" s="65" t="s">
        <v>157</v>
      </c>
      <c r="F58" s="67" t="s">
        <v>223</v>
      </c>
      <c r="G58" s="67" t="s">
        <v>246</v>
      </c>
      <c r="H58" s="67" t="s">
        <v>322</v>
      </c>
      <c r="I58" s="67" t="s">
        <v>343</v>
      </c>
      <c r="J58" s="67" t="s">
        <v>394</v>
      </c>
      <c r="K58" s="68" t="s">
        <v>415</v>
      </c>
      <c r="L58" s="55">
        <f>C58*K58</f>
        <v>0.1</v>
      </c>
    </row>
    <row r="59" spans="1:12" s="3" customFormat="1" x14ac:dyDescent="0.2">
      <c r="A59" s="14"/>
      <c r="B59" s="49">
        <f t="shared" si="17"/>
        <v>50</v>
      </c>
      <c r="C59" s="51">
        <v>1</v>
      </c>
      <c r="D59" s="66" t="s">
        <v>90</v>
      </c>
      <c r="E59" s="66" t="s">
        <v>158</v>
      </c>
      <c r="F59" s="66" t="s">
        <v>224</v>
      </c>
      <c r="G59" s="66" t="s">
        <v>246</v>
      </c>
      <c r="H59" s="66" t="s">
        <v>323</v>
      </c>
      <c r="I59" s="66" t="s">
        <v>343</v>
      </c>
      <c r="J59" s="66" t="s">
        <v>395</v>
      </c>
      <c r="K59" s="69" t="s">
        <v>423</v>
      </c>
      <c r="L59" s="57">
        <f t="shared" ref="L59" si="26">C59*K59</f>
        <v>0.1</v>
      </c>
    </row>
    <row r="60" spans="1:12" s="3" customFormat="1" x14ac:dyDescent="0.2">
      <c r="A60" s="14"/>
      <c r="B60" s="48">
        <f t="shared" si="17"/>
        <v>51</v>
      </c>
      <c r="C60" s="50">
        <v>1</v>
      </c>
      <c r="D60" s="65" t="s">
        <v>91</v>
      </c>
      <c r="E60" s="65" t="s">
        <v>159</v>
      </c>
      <c r="F60" s="67" t="s">
        <v>225</v>
      </c>
      <c r="G60" s="67" t="s">
        <v>246</v>
      </c>
      <c r="H60" s="67" t="s">
        <v>324</v>
      </c>
      <c r="I60" s="67" t="s">
        <v>343</v>
      </c>
      <c r="J60" s="67" t="s">
        <v>396</v>
      </c>
      <c r="K60" s="68" t="s">
        <v>423</v>
      </c>
      <c r="L60" s="55">
        <f>C60*K60</f>
        <v>0.1</v>
      </c>
    </row>
    <row r="61" spans="1:12" s="3" customFormat="1" x14ac:dyDescent="0.2">
      <c r="A61" s="14"/>
      <c r="B61" s="49">
        <f t="shared" si="17"/>
        <v>52</v>
      </c>
      <c r="C61" s="51">
        <v>1</v>
      </c>
      <c r="D61" s="66" t="s">
        <v>92</v>
      </c>
      <c r="E61" s="66" t="s">
        <v>160</v>
      </c>
      <c r="F61" s="66" t="s">
        <v>226</v>
      </c>
      <c r="G61" s="66" t="s">
        <v>246</v>
      </c>
      <c r="H61" s="66" t="s">
        <v>325</v>
      </c>
      <c r="I61" s="66" t="s">
        <v>343</v>
      </c>
      <c r="J61" s="66" t="s">
        <v>397</v>
      </c>
      <c r="K61" s="69" t="s">
        <v>423</v>
      </c>
      <c r="L61" s="57">
        <f t="shared" ref="L61" si="27">C61*K61</f>
        <v>0.1</v>
      </c>
    </row>
    <row r="62" spans="1:12" s="3" customFormat="1" x14ac:dyDescent="0.2">
      <c r="A62" s="14"/>
      <c r="B62" s="48">
        <f t="shared" si="17"/>
        <v>53</v>
      </c>
      <c r="C62" s="50">
        <v>1</v>
      </c>
      <c r="D62" s="65" t="s">
        <v>93</v>
      </c>
      <c r="E62" s="65" t="s">
        <v>161</v>
      </c>
      <c r="F62" s="67" t="s">
        <v>227</v>
      </c>
      <c r="G62" s="67" t="s">
        <v>246</v>
      </c>
      <c r="H62" s="67" t="s">
        <v>326</v>
      </c>
      <c r="I62" s="67" t="s">
        <v>343</v>
      </c>
      <c r="J62" s="67" t="s">
        <v>398</v>
      </c>
      <c r="K62" s="68" t="s">
        <v>419</v>
      </c>
      <c r="L62" s="55">
        <f>C62*K62</f>
        <v>0.12</v>
      </c>
    </row>
    <row r="63" spans="1:12" s="3" customFormat="1" x14ac:dyDescent="0.2">
      <c r="A63" s="14"/>
      <c r="B63" s="49">
        <f t="shared" si="17"/>
        <v>54</v>
      </c>
      <c r="C63" s="51">
        <v>1</v>
      </c>
      <c r="D63" s="66" t="s">
        <v>94</v>
      </c>
      <c r="E63" s="66" t="s">
        <v>162</v>
      </c>
      <c r="F63" s="66" t="s">
        <v>228</v>
      </c>
      <c r="G63" s="66" t="s">
        <v>246</v>
      </c>
      <c r="H63" s="66" t="s">
        <v>327</v>
      </c>
      <c r="I63" s="66" t="s">
        <v>343</v>
      </c>
      <c r="J63" s="66" t="s">
        <v>399</v>
      </c>
      <c r="K63" s="69" t="s">
        <v>423</v>
      </c>
      <c r="L63" s="57">
        <f t="shared" ref="L63" si="28">C63*K63</f>
        <v>0.1</v>
      </c>
    </row>
    <row r="64" spans="1:12" s="3" customFormat="1" x14ac:dyDescent="0.2">
      <c r="A64" s="14"/>
      <c r="B64" s="48">
        <f t="shared" si="17"/>
        <v>55</v>
      </c>
      <c r="C64" s="50">
        <v>1</v>
      </c>
      <c r="D64" s="65" t="s">
        <v>95</v>
      </c>
      <c r="E64" s="65" t="s">
        <v>124</v>
      </c>
      <c r="F64" s="67" t="s">
        <v>229</v>
      </c>
      <c r="G64" s="67" t="s">
        <v>263</v>
      </c>
      <c r="H64" s="67" t="s">
        <v>328</v>
      </c>
      <c r="I64" s="67" t="s">
        <v>343</v>
      </c>
      <c r="J64" s="67" t="s">
        <v>400</v>
      </c>
      <c r="K64" s="68" t="s">
        <v>443</v>
      </c>
      <c r="L64" s="55">
        <f>C64*K64</f>
        <v>3.77</v>
      </c>
    </row>
    <row r="65" spans="1:12" s="3" customFormat="1" x14ac:dyDescent="0.2">
      <c r="A65" s="14"/>
      <c r="B65" s="49">
        <f t="shared" si="17"/>
        <v>56</v>
      </c>
      <c r="C65" s="51">
        <v>1</v>
      </c>
      <c r="D65" s="66" t="s">
        <v>96</v>
      </c>
      <c r="E65" s="66" t="s">
        <v>163</v>
      </c>
      <c r="F65" s="66" t="s">
        <v>230</v>
      </c>
      <c r="G65" s="66" t="s">
        <v>264</v>
      </c>
      <c r="H65" s="66" t="s">
        <v>329</v>
      </c>
      <c r="I65" s="66" t="s">
        <v>344</v>
      </c>
      <c r="J65" s="66" t="s">
        <v>329</v>
      </c>
      <c r="K65" s="69" t="s">
        <v>444</v>
      </c>
      <c r="L65" s="57">
        <f t="shared" ref="L65" si="29">C65*K65</f>
        <v>1</v>
      </c>
    </row>
    <row r="66" spans="1:12" s="3" customFormat="1" x14ac:dyDescent="0.2">
      <c r="A66" s="14"/>
      <c r="B66" s="48">
        <f t="shared" si="17"/>
        <v>57</v>
      </c>
      <c r="C66" s="50">
        <v>5</v>
      </c>
      <c r="D66" s="65" t="s">
        <v>97</v>
      </c>
      <c r="E66" s="65" t="s">
        <v>164</v>
      </c>
      <c r="F66" s="67" t="s">
        <v>231</v>
      </c>
      <c r="G66" s="67" t="s">
        <v>265</v>
      </c>
      <c r="H66" s="67" t="s">
        <v>330</v>
      </c>
      <c r="I66" s="67" t="s">
        <v>343</v>
      </c>
      <c r="J66" s="67" t="s">
        <v>401</v>
      </c>
      <c r="K66" s="68" t="s">
        <v>445</v>
      </c>
      <c r="L66" s="55">
        <f>C66*K66</f>
        <v>1.25</v>
      </c>
    </row>
    <row r="67" spans="1:12" s="3" customFormat="1" x14ac:dyDescent="0.2">
      <c r="A67" s="14"/>
      <c r="B67" s="49">
        <f t="shared" si="17"/>
        <v>58</v>
      </c>
      <c r="C67" s="51">
        <v>1</v>
      </c>
      <c r="D67" s="66" t="s">
        <v>98</v>
      </c>
      <c r="E67" s="66" t="s">
        <v>165</v>
      </c>
      <c r="F67" s="66" t="s">
        <v>232</v>
      </c>
      <c r="G67" s="66" t="s">
        <v>266</v>
      </c>
      <c r="H67" s="66" t="s">
        <v>331</v>
      </c>
      <c r="I67" s="66" t="s">
        <v>343</v>
      </c>
      <c r="J67" s="66" t="s">
        <v>402</v>
      </c>
      <c r="K67" s="69" t="s">
        <v>446</v>
      </c>
      <c r="L67" s="57">
        <f t="shared" ref="L67" si="30">C67*K67</f>
        <v>0.48</v>
      </c>
    </row>
    <row r="68" spans="1:12" s="3" customFormat="1" ht="22.5" x14ac:dyDescent="0.2">
      <c r="A68" s="14"/>
      <c r="B68" s="48">
        <f t="shared" si="17"/>
        <v>59</v>
      </c>
      <c r="C68" s="50">
        <v>8</v>
      </c>
      <c r="D68" s="65" t="s">
        <v>99</v>
      </c>
      <c r="E68" s="65" t="s">
        <v>166</v>
      </c>
      <c r="F68" s="67" t="s">
        <v>233</v>
      </c>
      <c r="G68" s="67" t="s">
        <v>267</v>
      </c>
      <c r="H68" s="67" t="s">
        <v>332</v>
      </c>
      <c r="I68" s="67" t="s">
        <v>344</v>
      </c>
      <c r="J68" s="67" t="s">
        <v>403</v>
      </c>
      <c r="K68" s="68" t="s">
        <v>414</v>
      </c>
      <c r="L68" s="55">
        <f>C68*K68</f>
        <v>2.2400000000000002</v>
      </c>
    </row>
    <row r="69" spans="1:12" s="3" customFormat="1" x14ac:dyDescent="0.2">
      <c r="A69" s="14"/>
      <c r="B69" s="49">
        <f t="shared" si="17"/>
        <v>60</v>
      </c>
      <c r="C69" s="51">
        <v>2</v>
      </c>
      <c r="D69" s="66" t="s">
        <v>100</v>
      </c>
      <c r="E69" s="66" t="s">
        <v>167</v>
      </c>
      <c r="F69" s="66" t="s">
        <v>234</v>
      </c>
      <c r="G69" s="66" t="s">
        <v>268</v>
      </c>
      <c r="H69" s="66" t="s">
        <v>333</v>
      </c>
      <c r="I69" s="66" t="s">
        <v>343</v>
      </c>
      <c r="J69" s="66" t="s">
        <v>404</v>
      </c>
      <c r="K69" s="69" t="s">
        <v>447</v>
      </c>
      <c r="L69" s="57">
        <f t="shared" ref="L69" si="31">C69*K69</f>
        <v>3.08</v>
      </c>
    </row>
    <row r="70" spans="1:12" s="3" customFormat="1" x14ac:dyDescent="0.2">
      <c r="A70" s="14"/>
      <c r="B70" s="48">
        <f t="shared" si="17"/>
        <v>61</v>
      </c>
      <c r="C70" s="50">
        <v>1</v>
      </c>
      <c r="D70" s="65" t="s">
        <v>101</v>
      </c>
      <c r="E70" s="65" t="s">
        <v>168</v>
      </c>
      <c r="F70" s="67" t="s">
        <v>235</v>
      </c>
      <c r="G70" s="67" t="s">
        <v>269</v>
      </c>
      <c r="H70" s="67" t="s">
        <v>334</v>
      </c>
      <c r="I70" s="67" t="s">
        <v>345</v>
      </c>
      <c r="J70" s="67" t="s">
        <v>405</v>
      </c>
      <c r="K70" s="68" t="s">
        <v>448</v>
      </c>
      <c r="L70" s="55">
        <f>C70*K70</f>
        <v>16.989999999999998</v>
      </c>
    </row>
    <row r="71" spans="1:12" s="3" customFormat="1" x14ac:dyDescent="0.2">
      <c r="A71" s="14"/>
      <c r="B71" s="49">
        <f t="shared" si="17"/>
        <v>62</v>
      </c>
      <c r="C71" s="51">
        <v>2</v>
      </c>
      <c r="D71" s="66" t="s">
        <v>102</v>
      </c>
      <c r="E71" s="66" t="s">
        <v>169</v>
      </c>
      <c r="F71" s="66" t="s">
        <v>236</v>
      </c>
      <c r="G71" s="66" t="s">
        <v>270</v>
      </c>
      <c r="H71" s="66" t="s">
        <v>335</v>
      </c>
      <c r="I71" s="66" t="s">
        <v>343</v>
      </c>
      <c r="J71" s="66" t="s">
        <v>406</v>
      </c>
      <c r="K71" s="69" t="s">
        <v>449</v>
      </c>
      <c r="L71" s="57">
        <f t="shared" ref="L71" si="32">C71*K71</f>
        <v>24.04</v>
      </c>
    </row>
    <row r="72" spans="1:12" s="3" customFormat="1" x14ac:dyDescent="0.2">
      <c r="A72" s="14"/>
      <c r="B72" s="48">
        <f t="shared" si="17"/>
        <v>63</v>
      </c>
      <c r="C72" s="50">
        <v>3</v>
      </c>
      <c r="D72" s="65" t="s">
        <v>103</v>
      </c>
      <c r="E72" s="65" t="s">
        <v>170</v>
      </c>
      <c r="F72" s="67" t="s">
        <v>237</v>
      </c>
      <c r="G72" s="67" t="s">
        <v>270</v>
      </c>
      <c r="H72" s="67" t="s">
        <v>336</v>
      </c>
      <c r="I72" s="67" t="s">
        <v>343</v>
      </c>
      <c r="J72" s="67" t="s">
        <v>407</v>
      </c>
      <c r="K72" s="68" t="s">
        <v>450</v>
      </c>
      <c r="L72" s="55">
        <f>C72*K72</f>
        <v>14.82</v>
      </c>
    </row>
    <row r="73" spans="1:12" s="3" customFormat="1" x14ac:dyDescent="0.2">
      <c r="A73" s="14"/>
      <c r="B73" s="49">
        <f t="shared" si="17"/>
        <v>64</v>
      </c>
      <c r="C73" s="51">
        <v>1</v>
      </c>
      <c r="D73" s="66" t="s">
        <v>104</v>
      </c>
      <c r="E73" s="66" t="s">
        <v>171</v>
      </c>
      <c r="F73" s="66" t="s">
        <v>238</v>
      </c>
      <c r="G73" s="66" t="s">
        <v>271</v>
      </c>
      <c r="H73" s="66" t="s">
        <v>337</v>
      </c>
      <c r="I73" s="66" t="s">
        <v>343</v>
      </c>
      <c r="J73" s="66" t="s">
        <v>408</v>
      </c>
      <c r="K73" s="69" t="s">
        <v>440</v>
      </c>
      <c r="L73" s="57">
        <f t="shared" ref="L73" si="33">C73*K73</f>
        <v>0.45</v>
      </c>
    </row>
    <row r="74" spans="1:12" s="3" customFormat="1" x14ac:dyDescent="0.2">
      <c r="A74" s="14"/>
      <c r="B74" s="48">
        <f t="shared" si="17"/>
        <v>65</v>
      </c>
      <c r="C74" s="50">
        <v>1</v>
      </c>
      <c r="D74" s="65" t="s">
        <v>105</v>
      </c>
      <c r="E74" s="65" t="s">
        <v>170</v>
      </c>
      <c r="F74" s="67" t="s">
        <v>239</v>
      </c>
      <c r="G74" s="67" t="s">
        <v>271</v>
      </c>
      <c r="H74" s="67" t="s">
        <v>338</v>
      </c>
      <c r="I74" s="67" t="s">
        <v>343</v>
      </c>
      <c r="J74" s="67" t="s">
        <v>409</v>
      </c>
      <c r="K74" s="68" t="s">
        <v>451</v>
      </c>
      <c r="L74" s="55">
        <f>C74*K74</f>
        <v>0.66</v>
      </c>
    </row>
    <row r="75" spans="1:12" s="3" customFormat="1" x14ac:dyDescent="0.2">
      <c r="A75" s="14"/>
      <c r="B75" s="49">
        <f t="shared" si="17"/>
        <v>66</v>
      </c>
      <c r="C75" s="51">
        <v>1</v>
      </c>
      <c r="D75" s="66" t="s">
        <v>106</v>
      </c>
      <c r="E75" s="66" t="s">
        <v>172</v>
      </c>
      <c r="F75" s="66" t="s">
        <v>240</v>
      </c>
      <c r="G75" s="66" t="s">
        <v>271</v>
      </c>
      <c r="H75" s="66" t="s">
        <v>339</v>
      </c>
      <c r="I75" s="66" t="s">
        <v>343</v>
      </c>
      <c r="J75" s="66" t="s">
        <v>410</v>
      </c>
      <c r="K75" s="69" t="s">
        <v>452</v>
      </c>
      <c r="L75" s="57">
        <f t="shared" ref="L75" si="34">C75*K75</f>
        <v>6.42</v>
      </c>
    </row>
    <row r="76" spans="1:12" s="3" customFormat="1" x14ac:dyDescent="0.2">
      <c r="A76" s="14"/>
      <c r="B76" s="48">
        <f t="shared" si="17"/>
        <v>67</v>
      </c>
      <c r="C76" s="50">
        <v>1</v>
      </c>
      <c r="D76" s="65" t="s">
        <v>107</v>
      </c>
      <c r="E76" s="65" t="s">
        <v>173</v>
      </c>
      <c r="F76" s="67" t="s">
        <v>241</v>
      </c>
      <c r="G76" s="67" t="s">
        <v>272</v>
      </c>
      <c r="H76" s="67" t="s">
        <v>340</v>
      </c>
      <c r="I76" s="67" t="s">
        <v>343</v>
      </c>
      <c r="J76" s="67" t="s">
        <v>411</v>
      </c>
      <c r="K76" s="68" t="s">
        <v>453</v>
      </c>
      <c r="L76" s="55">
        <f>C76*K76</f>
        <v>0.2</v>
      </c>
    </row>
    <row r="77" spans="1:12" s="3" customFormat="1" x14ac:dyDescent="0.2">
      <c r="A77" s="14"/>
      <c r="B77" s="49">
        <f t="shared" si="17"/>
        <v>68</v>
      </c>
      <c r="C77" s="51">
        <v>1</v>
      </c>
      <c r="D77" s="66" t="s">
        <v>108</v>
      </c>
      <c r="E77" s="66" t="s">
        <v>172</v>
      </c>
      <c r="F77" s="66" t="s">
        <v>242</v>
      </c>
      <c r="G77" s="66" t="s">
        <v>271</v>
      </c>
      <c r="H77" s="66" t="s">
        <v>341</v>
      </c>
      <c r="I77" s="66" t="s">
        <v>343</v>
      </c>
      <c r="J77" s="66" t="s">
        <v>412</v>
      </c>
      <c r="K77" s="69" t="s">
        <v>454</v>
      </c>
      <c r="L77" s="57">
        <f t="shared" ref="L77" si="35">C77*K77</f>
        <v>4.41</v>
      </c>
    </row>
    <row r="78" spans="1:12" x14ac:dyDescent="0.2">
      <c r="A78" s="14"/>
      <c r="B78" s="73" t="s">
        <v>19</v>
      </c>
      <c r="C78" s="74"/>
      <c r="D78" s="74"/>
      <c r="E78" s="47"/>
      <c r="F78" s="46"/>
      <c r="G78" s="7" t="s">
        <v>20</v>
      </c>
      <c r="J78" s="53" t="s">
        <v>30</v>
      </c>
      <c r="K78" s="54"/>
      <c r="L78" s="56">
        <f>SUM(L10:L77)</f>
        <v>428.80000000000024</v>
      </c>
    </row>
    <row r="79" spans="1:12" x14ac:dyDescent="0.2">
      <c r="A79" s="14"/>
      <c r="B79" s="10"/>
      <c r="C79" s="10"/>
      <c r="D79" s="10"/>
      <c r="E79" s="9"/>
      <c r="F79" s="11"/>
      <c r="G79" s="8"/>
      <c r="H79" s="8"/>
      <c r="I79" s="8"/>
      <c r="J79" s="8"/>
      <c r="K79" s="8"/>
      <c r="L79" s="19"/>
    </row>
    <row r="80" spans="1:12" x14ac:dyDescent="0.2">
      <c r="A80" s="14"/>
      <c r="B80" s="10"/>
      <c r="C80" s="10"/>
      <c r="D80" s="10"/>
      <c r="E80" s="10"/>
      <c r="F80" s="12"/>
      <c r="G80" s="9"/>
      <c r="H80" s="9"/>
      <c r="I80" s="9"/>
      <c r="J80" s="9"/>
      <c r="K80" s="9"/>
      <c r="L80" s="20"/>
    </row>
    <row r="81" spans="1:12" x14ac:dyDescent="0.2">
      <c r="A81" s="14"/>
      <c r="B81" s="10"/>
      <c r="C81" s="10"/>
      <c r="D81" s="10"/>
      <c r="E81" s="10"/>
      <c r="F81" s="12"/>
      <c r="G81" s="9"/>
      <c r="H81" s="9"/>
      <c r="I81" s="9"/>
      <c r="J81" s="9" t="s">
        <v>22</v>
      </c>
      <c r="K81" s="9"/>
      <c r="L81" s="20"/>
    </row>
    <row r="82" spans="1:12" ht="13.5" thickBot="1" x14ac:dyDescent="0.25">
      <c r="A82" s="14"/>
      <c r="B82" s="44"/>
      <c r="C82" s="17"/>
      <c r="D82" s="17"/>
      <c r="E82" s="17"/>
      <c r="F82" s="15"/>
      <c r="G82" s="16"/>
      <c r="H82" s="16"/>
      <c r="I82" s="16"/>
      <c r="J82" s="16"/>
      <c r="K82" s="16"/>
      <c r="L82" s="21"/>
    </row>
    <row r="84" spans="1:12" x14ac:dyDescent="0.2">
      <c r="D84" s="1"/>
      <c r="E84" s="1"/>
      <c r="F84" s="1"/>
    </row>
    <row r="85" spans="1:12" x14ac:dyDescent="0.2">
      <c r="D85" s="1"/>
      <c r="E85" s="1"/>
      <c r="F85" s="1"/>
    </row>
    <row r="86" spans="1:12" x14ac:dyDescent="0.2">
      <c r="D86" s="1"/>
      <c r="E86" s="1"/>
      <c r="F86" s="1"/>
    </row>
  </sheetData>
  <mergeCells count="1">
    <mergeCell ref="B78:D78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6"/>
  <sheetViews>
    <sheetView workbookViewId="0"/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43" t="s">
        <v>0</v>
      </c>
      <c r="B1" s="70" t="s">
        <v>455</v>
      </c>
    </row>
    <row r="2" spans="1:2" x14ac:dyDescent="0.2">
      <c r="A2" s="42" t="s">
        <v>1</v>
      </c>
      <c r="B2" s="71" t="s">
        <v>31</v>
      </c>
    </row>
    <row r="3" spans="1:2" x14ac:dyDescent="0.2">
      <c r="A3" s="43" t="s">
        <v>2</v>
      </c>
      <c r="B3" s="72" t="s">
        <v>32</v>
      </c>
    </row>
    <row r="4" spans="1:2" x14ac:dyDescent="0.2">
      <c r="A4" s="42" t="s">
        <v>3</v>
      </c>
      <c r="B4" s="71" t="s">
        <v>31</v>
      </c>
    </row>
    <row r="5" spans="1:2" x14ac:dyDescent="0.2">
      <c r="A5" s="43" t="s">
        <v>4</v>
      </c>
      <c r="B5" s="72" t="s">
        <v>455</v>
      </c>
    </row>
    <row r="6" spans="1:2" x14ac:dyDescent="0.2">
      <c r="A6" s="42" t="s">
        <v>5</v>
      </c>
      <c r="B6" s="71" t="s">
        <v>35</v>
      </c>
    </row>
    <row r="7" spans="1:2" x14ac:dyDescent="0.2">
      <c r="A7" s="43" t="s">
        <v>6</v>
      </c>
      <c r="B7" s="72" t="s">
        <v>456</v>
      </c>
    </row>
    <row r="8" spans="1:2" x14ac:dyDescent="0.2">
      <c r="A8" s="42" t="s">
        <v>7</v>
      </c>
      <c r="B8" s="71" t="s">
        <v>34</v>
      </c>
    </row>
    <row r="9" spans="1:2" x14ac:dyDescent="0.2">
      <c r="A9" s="43" t="s">
        <v>8</v>
      </c>
      <c r="B9" s="72" t="s">
        <v>33</v>
      </c>
    </row>
    <row r="10" spans="1:2" x14ac:dyDescent="0.2">
      <c r="A10" s="42" t="s">
        <v>9</v>
      </c>
      <c r="B10" s="71" t="s">
        <v>457</v>
      </c>
    </row>
    <row r="11" spans="1:2" x14ac:dyDescent="0.2">
      <c r="A11" s="43" t="s">
        <v>10</v>
      </c>
      <c r="B11" s="72" t="s">
        <v>458</v>
      </c>
    </row>
    <row r="12" spans="1:2" x14ac:dyDescent="0.2">
      <c r="A12" s="42" t="s">
        <v>11</v>
      </c>
      <c r="B12" s="71" t="s">
        <v>458</v>
      </c>
    </row>
    <row r="13" spans="1:2" x14ac:dyDescent="0.2">
      <c r="A13" s="43" t="s">
        <v>12</v>
      </c>
      <c r="B13" s="72" t="s">
        <v>459</v>
      </c>
    </row>
    <row r="14" spans="1:2" x14ac:dyDescent="0.2">
      <c r="A14" s="42" t="s">
        <v>13</v>
      </c>
      <c r="B14" s="71" t="s">
        <v>460</v>
      </c>
    </row>
    <row r="15" spans="1:2" x14ac:dyDescent="0.2">
      <c r="A15" s="43" t="s">
        <v>23</v>
      </c>
      <c r="B15" s="72" t="s">
        <v>461</v>
      </c>
    </row>
    <row r="16" spans="1:2" x14ac:dyDescent="0.2">
      <c r="A16" s="42" t="s">
        <v>24</v>
      </c>
      <c r="B16" s="71" t="s">
        <v>462</v>
      </c>
    </row>
  </sheetData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cp:lastPrinted>2005-05-16T01:11:50Z</cp:lastPrinted>
  <dcterms:created xsi:type="dcterms:W3CDTF">2002-11-05T15:28:02Z</dcterms:created>
  <dcterms:modified xsi:type="dcterms:W3CDTF">2026-01-25T14:19:46Z</dcterms:modified>
</cp:coreProperties>
</file>